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6606aa97b64d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D3.0_5N(C)" sheetId="1" r:id="R077c0e725eea4a96"/>
    <x:sheet xmlns:r="http://schemas.openxmlformats.org/officeDocument/2006/relationships" name="SD0.5_5N(E)" sheetId="2" r:id="R90d4590c24e844dc"/>
    <x:sheet xmlns:r="http://schemas.openxmlformats.org/officeDocument/2006/relationships" name="SD1.1_5NU(E)" sheetId="3" r:id="R8cd44424cc4b4c5a"/>
    <x:sheet xmlns:r="http://schemas.openxmlformats.org/officeDocument/2006/relationships" name="SD1.1_5NU(E)T" sheetId="4" r:id="Rf7850a66672f4668"/>
    <x:sheet xmlns:r="http://schemas.openxmlformats.org/officeDocument/2006/relationships" name="SDJC1.5_5N(E)" sheetId="5" r:id="Re1f9153e69364b14"/>
    <x:sheet xmlns:r="http://schemas.openxmlformats.org/officeDocument/2006/relationships" name="SDJC2.0_5N(E)" sheetId="6" r:id="Rdc650e26f78e4def"/>
    <x:sheet xmlns:r="http://schemas.openxmlformats.org/officeDocument/2006/relationships" name="SD1.1_5NUK(C)" sheetId="7" r:id="Ra6c7033023ab4acf"/>
    <x:sheet xmlns:r="http://schemas.openxmlformats.org/officeDocument/2006/relationships" name="summary" sheetId="8" r:id="R49bdc3e1ab68484b"/>
    <x:sheet xmlns:r="http://schemas.openxmlformats.org/officeDocument/2006/relationships" name="10Min Charts" sheetId="9" r:id="Rd5e7add07879465d"/>
  </x:sheets>
</x:workbook>
</file>

<file path=xl/sharedStrings.xml><?xml version="1.0" encoding="utf-8"?>
<x:sst xmlns:x="http://schemas.openxmlformats.org/spreadsheetml/2006/main">
  <x:si>
    <x:t xml:space="preserve">SC27</x:t>
  </x:si>
  <x:si>
    <x:t xml:space="preserve">SD 3.0 x5N(C) </x:t>
  </x:si>
  <x:si>
    <x:t xml:space="preserve">N-Side</x:t>
  </x:si>
  <x:si>
    <x:t xml:space="preserve">Std</x:t>
  </x:si>
  <x:si>
    <x:t xml:space="preserve">FS bundle - X (max)</x:t>
  </x:si>
  <x:si>
    <x:t xml:space="preserve">FS bundle – X</x:t>
  </x:si>
  <x:si>
    <x:t xml:space="preserve">FS defect - X (max)</x:t>
  </x:si>
  <x:si>
    <x:t xml:space="preserve">FS defect – X</x:t>
  </x:si>
  <x:si>
    <x:t xml:space="preserve">FS remain - X (max)</x:t>
  </x:si>
  <x:si>
    <x:t xml:space="preserve">FS remain – X</x:t>
  </x:si>
  <x:si>
    <x:t xml:space="preserve">Long filament</x:t>
  </x:si>
  <x:si>
    <x:t xml:space="preserve">Over Length</x:t>
  </x:si>
  <x:si>
    <x:t xml:space="preserve">Dispersion</x:t>
  </x:si>
  <x:si>
    <x:t xml:space="preserve">CE</x:t>
  </x:si>
  <x:si>
    <x:t xml:space="preserve">-</x:t>
  </x:si>
  <x:si>
    <x:t xml:space="preserve">CL</x:t>
  </x:si>
  <x:si>
    <x:t xml:space="preserve">AL</x:t>
  </x:si>
  <x:si>
    <x:t xml:space="preserve">หมายเหตุ :</x:t>
  </x:si>
  <x:si>
    <x:t xml:space="preserve">* X เป็นค่าเฉลี่ยของ X max ใน 1 วัน ถ้าX max เกิน STD ให้ stop product ช่วงเวลานั้น แล้วไม่นำมาคำนวนค่า X</x:t>
  </x:si>
  <x:si>
    <x:t xml:space="preserve">** กรณีเกิน STD ให้พิจารณาว่าเป็น spider net หรือไม่ ถ้าไม่ใช่สามารถขายได้</x:t>
  </x:si>
  <x:si>
    <x:t xml:space="preserve">Production
Lot</x:t>
  </x:si>
  <x:si>
    <x:t xml:space="preserve">Production
date</x:t>
  </x:si>
  <x:si>
    <x:t xml:space="preserve">Brand name</x:t>
  </x:si>
  <x:si>
    <x:t xml:space="preserve">Side</x:t>
  </x:si>
  <x:si>
    <x:t xml:space="preserve">B/N</x:t>
  </x:si>
  <x:si>
    <x:t xml:space="preserve">Time</x:t>
  </x:si>
  <x:si>
    <x:t xml:space="preserve">Flat Screen</x:t>
  </x:si>
  <x:si>
    <x:t xml:space="preserve">Remark</x:t>
  </x:si>
  <x:si>
    <x:t xml:space="preserve">(N or S)</x:t>
  </x:si>
  <x:si>
    <x:t xml:space="preserve">(Date)</x:t>
  </x:si>
  <x:si>
    <x:t xml:space="preserve">(No)</x:t>
  </x:si>
  <x:si>
    <x:t xml:space="preserve">Machine no.</x:t>
  </x:si>
  <x:si>
    <x:t xml:space="preserve">No.</x:t>
  </x:si>
  <x:si>
    <x:t xml:space="preserve">Bundle
(pcs)</x:t>
  </x:si>
  <x:si>
    <x:t xml:space="preserve">Twist
(pcs)</x:t>
  </x:si>
  <x:si>
    <x:t xml:space="preserve">Tangle
(pcs)</x:t>
  </x:si>
  <x:si>
    <x:t xml:space="preserve">Defect
(pcs)</x:t>
  </x:si>
  <x:si>
    <x:t xml:space="preserve">Remain
(g)</x:t>
  </x:si>
  <x:si>
    <x:t xml:space="preserve">June'26</x:t>
  </x:si>
  <x:si>
    <x:t xml:space="preserve">25-Jun-26</x:t>
  </x:si>
  <x:si>
    <x:t xml:space="preserve">1KN</x:t>
  </x:si>
  <x:si>
    <x:t xml:space="preserve">7 Min</x:t>
  </x:si>
  <x:si>
    <x:t xml:space="preserve">7Min</x:t>
  </x:si>
  <x:si>
    <x:t xml:space="preserve">8Min</x:t>
  </x:si>
  <x:si>
    <x:t xml:space="preserve">9Min</x:t>
  </x:si>
  <x:si>
    <x:t xml:space="preserve">10Min</x:t>
  </x:si>
  <x:si>
    <x:t xml:space="preserve">SD 0.5 x5N(E) </x:t>
  </x:si>
  <x:si>
    <x:t xml:space="preserve">22-Jun-26</x:t>
  </x:si>
  <x:si>
    <x:t xml:space="preserve">4KN</x:t>
  </x:si>
  <x:si>
    <x:t xml:space="preserve">SD 1.1 x5NU(E) </x:t>
  </x:si>
  <x:si>
    <x:t xml:space="preserve">5KN</x:t>
  </x:si>
  <x:si>
    <x:t xml:space="preserve">SD 1.1 x5NU(E)T</x:t>
  </x:si>
  <x:si>
    <x:t xml:space="preserve">SDJC 1.5 x5N(E)</x:t>
  </x:si>
  <x:si>
    <x:t xml:space="preserve">6KN</x:t>
  </x:si>
  <x:si>
    <x:t xml:space="preserve">SDJC 2.0 x5N(E)</x:t>
  </x:si>
  <x:si>
    <x:t xml:space="preserve">28-Jun-26</x:t>
  </x:si>
  <x:si>
    <x:t xml:space="preserve">SD 1.1 x5NUK(C)</x:t>
  </x:si>
  <x:si>
    <x:t xml:space="preserve">23-Jun-26</x:t>
  </x:si>
  <x:si>
    <x:t xml:space="preserve">7KN</x:t>
  </x:si>
  <x:si>
    <x:t xml:space="preserve">summary</x:t>
  </x:si>
  <x:si>
    <x:t xml:space="preserve">วิธีการทดลอง</x:t>
  </x:si>
  <x:si>
    <x:t xml:space="preserve">1.ชั่งน้ำหนักตัวอย่าง (Sample) ตามน้ำหนักมาตรฐาน (Standard Weight) ที่กำหนดสำหรับแต่ละแบรนด์ (ในการทดสอบนี้ใช้น้ำหนัก 58 กรัม สำหรับทุกตัวอย่าง)</x:t>
  </x:si>
  <x:si>
    <x:t xml:space="preserve">2.เปิดน้ำและปรับ Flow Rate ให้อยู่ที่ 30 ± 1</x:t>
  </x:si>
  <x:si>
    <x:t xml:space="preserve">3.ตั้งเวลาทดสอบเป็น 3 เวลา ได้แก่ 7, 8 และ 9 นาที</x:t>
  </x:si>
  <x:si>
    <x:t xml:space="preserve">4.กดปุ่ม Start ที่เครื่อง Flat Screen เพื่อเริ่มการทดสอบ</x:t>
  </x:si>
  <x:si>
    <x:t xml:space="preserve">5.เมื่อเวลาทดสอบถึง 5 นาที ให้คนตัวอย่าง 5 ครั้ง</x:t>
  </x:si>
  <x:si>
    <x:t xml:space="preserve">6.เมื่อครบเวลาที่ตั้งไว้ เครื่องจะส่งสัญญาณเสียง ให้กดปุ่มหยุด (Stop) และปิดน้ำ</x:t>
  </x:si>
  <x:si>
    <x:t xml:space="preserve">7.เก็บเส้นใยที่เหลือใน Plate เพื่อนำมาตรวจสอบ</x:t>
  </x:si>
  <x:si>
    <x:t xml:space="preserve">8.คัดแยกประเภทของเส้นใยที่มีความผิดปกติ เช่น Bundle, Twist, Tangle และ Long Filament</x:t>
  </x:si>
  <x:si>
    <x:t xml:space="preserve">9.บันทึกผลการทดสอบทั้งหมดลงใน Record Sheet</x:t>
  </x:si>
  <x:si>
    <x:t xml:space="preserve">10.ทำซ้ำจนครบ15ครั้งสำหรับแต่ละเวลา(7,8และ9นาที) รวมเป็นทั้งหมด45ครั้งต่อแบรนด์</x:t>
  </x:si>
  <x:si>
    <x:t xml:space="preserve">Condition</x:t>
  </x:si>
  <x:si>
    <x:t xml:space="preserve">การลดระยะเวลาการทดสอบการตรวจหาเส้นใยผิดปกติด้วยเครื่อง Flat Screen โดยกำหนดเวลาทดสอบเป็น 7, 8 และ 9 นาที แทนเวลามาตรฐาน </x:t>
  </x:si>
  <x:si>
    <x:t xml:space="preserve">และเพิ่มการกวนเส้นใยที่ นาทีที่ 5 จำนวน 5 รอบ เพื่อช่วยให้เส้นใยกระจายตัวและเพิ่มประสิทธิภาพในการตรวจหาเส้นใยผิดปกติ</x:t>
  </x:si>
</x:sst>
</file>

<file path=xl/styles.xml><?xml version="1.0" encoding="utf-8"?>
<x:styleSheet xmlns:x="http://schemas.openxmlformats.org/spreadsheetml/2006/main">
  <x:numFmts count="4">
    <x:numFmt numFmtId="164" formatCode="[$-409]mmm/yy;@"/>
    <x:numFmt numFmtId="165" formatCode="h:mm;@"/>
    <x:numFmt numFmtId="166" formatCode="0.0"/>
    <x:numFmt numFmtId="200" formatCode="#,##0"/>
  </x:numFmts>
  <x:fonts count="14">
    <x:font>
      <x:sz val="11"/>
      <x:color theme="1"/>
      <x:name val="Aptos Narrow"/>
    </x:font>
    <x:font>
      <x:b/>
      <x:sz val="11"/>
      <x:color theme="1"/>
      <x:name val="Aptos Narrow"/>
    </x:font>
    <x:font>
      <x:sz val="14"/>
      <x:color theme="0" tint="-0.15"/>
      <x:name val="Aptos Narrow"/>
    </x:font>
    <x:font>
      <x:b/>
      <x:sz val="18"/>
      <x:color theme="1"/>
      <x:name val="Aptos Narrow"/>
    </x:font>
    <x:font>
      <x:sz val="14"/>
      <x:color theme="1"/>
      <x:name val="Aptos Narrow"/>
    </x:font>
    <x:font>
      <x:b/>
      <x:sz val="16"/>
      <x:color theme="1"/>
      <x:name val="Aptos Narrow"/>
    </x:font>
    <x:font>
      <x:sz val="8"/>
      <x:name val="Aptos Narrow"/>
    </x:font>
    <x:font>
      <x:sz val="12"/>
      <x:color theme="1"/>
      <x:name val="Aptos Narrow"/>
    </x:font>
    <x:font>
      <x:b/>
      <x:sz val="11"/>
      <x:color rgb="FFFFFFFF"/>
      <x:name val="Aptos Narrow"/>
    </x:font>
    <x:font>
      <x:b/>
      <x:sz val="16"/>
      <x:color rgb="FFFFFFFF"/>
      <x:name val="Aptos Narrow"/>
    </x:font>
    <x:font>
      <x:b/>
      <x:sz val="11"/>
      <x:color rgb="FF1F2937"/>
      <x:name val="Aptos Narrow"/>
    </x:font>
    <x:font>
      <x:sz val="9"/>
      <x:color theme="1"/>
      <x:name val="Aptos Narrow"/>
    </x:font>
    <x:font>
      <x:sz val="9"/>
      <x:color rgb="FFFFFFFF"/>
      <x:name val="Aptos Narrow"/>
    </x:font>
    <x:font>
      <x:sz val="11"/>
      <x:color rgb="FFFFFFFF"/>
      <x:name val="Aptos Narrow"/>
    </x:font>
  </x:fonts>
  <x:fills count="9">
    <x:fill>
      <x:patternFill patternType="none"/>
    </x:fill>
    <x:fill>
      <x:patternFill patternType="gray125"/>
    </x:fill>
    <x:fill>
      <x:patternFill patternType="solid">
        <x:fgColor theme="7" tint="0.79998"/>
      </x:patternFill>
    </x:fill>
    <x:fill>
      <x:patternFill patternType="solid">
        <x:fgColor rgb="FFFFFF00"/>
      </x:patternFill>
    </x:fill>
    <x:fill>
      <x:patternFill patternType="solid">
        <x:fgColor theme="4" tint="0.79998"/>
      </x:patternFill>
    </x:fill>
    <x:fill>
      <x:patternFill patternType="solid">
        <x:fgColor theme="5" tint="0.79998"/>
      </x:patternFill>
    </x:fill>
    <x:fill>
      <x:patternFill patternType="solid">
        <x:fgColor rgb="FF17324D"/>
      </x:patternFill>
    </x:fill>
    <x:fill>
      <x:patternFill patternType="solid">
        <x:fgColor rgb="FFE8EEF5"/>
      </x:patternFill>
    </x:fill>
    <x:fill>
      <x:patternFill patternType="solid">
        <x:fgColor rgb="FFFFFFFF"/>
      </x:patternFill>
    </x:fill>
  </x:fills>
  <x:borders count="21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top style="thin">
        <x:color indexed="64"/>
      </x:top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indexed="64"/>
      </x:left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rgb="FFB8C4D2"/>
      </x:left>
      <x:top style="thin">
        <x:color rgb="FFB8C4D2"/>
      </x:top>
      <x:bottom style="thin">
        <x:color rgb="FFB8C4D2"/>
      </x:bottom>
    </x:border>
    <x:border>
      <x:top style="thin">
        <x:color rgb="FFB8C4D2"/>
      </x:top>
      <x:bottom style="thin">
        <x:color rgb="FFB8C4D2"/>
      </x:bottom>
    </x:border>
    <x:border>
      <x:right style="thin">
        <x:color rgb="FFB8C4D2"/>
      </x:right>
      <x:top style="thin">
        <x:color rgb="FFB8C4D2"/>
      </x:top>
      <x:bottom style="thin">
        <x:color rgb="FFB8C4D2"/>
      </x:bottom>
    </x:border>
    <x:border>
      <x:bottom style="thin">
        <x:color rgb="FFD7DEE8"/>
      </x:bottom>
    </x:border>
    <x:border>
      <x:top style="thin">
        <x:color rgb="FFD7DEE8"/>
      </x:top>
      <x:bottom style="thin">
        <x:color rgb="FFD7DEE8"/>
      </x:bottom>
    </x:border>
    <x:border>
      <x:top style="thin">
        <x:color rgb="FFD7DEE8"/>
      </x:top>
      <x:bottom style="thin">
        <x:color rgb="FFB8C4D2"/>
      </x:bottom>
    </x:border>
  </x:borders>
  <x:cellStyleXfs count="1">
    <x:xf numFmtId="0" fontId="0" fillId="0" borderId="0"/>
  </x:cellStyleXfs>
  <x:cellXfs count="94">
    <x:xf numFmtId="0" fontId="0" fillId="0" borderId="0" xfId="0"/>
    <x:xf numFmtId="0" fontId="2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0" fontId="4" fillId="0" borderId="0" xfId="0" applyFont="1" applyAlignment="1">
      <x:alignment horizontal="center"/>
    </x:xf>
    <x:xf numFmtId="165" fontId="4" fillId="0" borderId="0" xfId="0" applyNumberFormat="1" applyFont="1" applyAlignment="1">
      <x:alignment horizontal="center"/>
    </x:xf>
    <x:xf numFmtId="1" fontId="4" fillId="0" borderId="0" xfId="0" applyNumberFormat="1" applyFont="1" applyAlignment="1">
      <x:alignment horizontal="center"/>
    </x:xf>
    <x:xf numFmtId="0" fontId="4" fillId="0" borderId="0" xfId="0" applyFont="1"/>
    <x:xf numFmtId="0" fontId="1" fillId="2" borderId="1" xfId="0" applyFont="1" applyFill="1" applyBorder="1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center"/>
    </x:xf>
    <x:xf numFmtId="1" fontId="0" fillId="0" borderId="1" xfId="0" applyNumberFormat="1" applyBorder="1" applyAlignment="1">
      <x:alignment horizontal="center"/>
    </x:xf>
    <x:xf numFmtId="2" fontId="0" fillId="0" borderId="1" xfId="0" applyNumberFormat="1" applyBorder="1" applyAlignment="1">
      <x:alignment horizontal="center"/>
    </x:xf>
    <x:xf numFmtId="166" fontId="0" fillId="0" borderId="1" xfId="0" applyNumberFormat="1" applyBorder="1" applyAlignment="1">
      <x:alignment horizontal="center"/>
    </x:xf>
    <x:xf numFmtId="0" fontId="5" fillId="0" borderId="0" xfId="0" applyFont="1" applyAlignment="1">
      <x:alignment horizontal="center"/>
    </x:xf>
    <x:xf numFmtId="0" fontId="1" fillId="2" borderId="1" xfId="0" applyFont="1" applyFill="1" applyBorder="1" applyAlignment="1">
      <x:alignment horizontal="center" wrapText="1"/>
    </x:xf>
    <x:xf numFmtId="165" fontId="1" fillId="2" borderId="1" xfId="0" applyNumberFormat="1" applyFont="1" applyFill="1" applyBorder="1" applyAlignment="1">
      <x:alignment horizontal="center" vertical="center"/>
    </x:xf>
    <x:xf numFmtId="0" fontId="0" fillId="0" borderId="0" xfId="0" applyAlignment="1">
      <x:alignment horizontal="center"/>
    </x:xf>
    <x:xf numFmtId="1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Border="1" applyAlignment="1">
      <x:alignment horizontal="center"/>
    </x:xf>
    <x:xf numFmtId="164" fontId="0" fillId="0" borderId="1" xfId="0" applyNumberFormat="1" applyBorder="1" applyAlignment="1">
      <x:alignment horizontal="center"/>
    </x:xf>
    <x:xf numFmtId="0" fontId="0" fillId="0" borderId="1" xfId="0" applyBorder="1" applyAlignment="1">
      <x:alignment horizontal="center"/>
    </x:xf>
    <x:xf numFmtId="165" fontId="0" fillId="0" borderId="1" xfId="0" applyNumberFormat="1" applyBorder="1" applyAlignment="1">
      <x:alignment horizontal="center"/>
    </x:xf>
    <x:xf numFmtId="0" fontId="0" fillId="0" borderId="0" xfId="0" applyAlignment="1">
      <x:alignment horizontal="center"/>
    </x:xf>
    <x:xf numFmtId="165" fontId="0" fillId="0" borderId="0" xfId="0" applyNumberFormat="1" applyAlignment="1">
      <x:alignment horizontal="center"/>
    </x:xf>
    <x:xf numFmtId="1" fontId="0" fillId="0" borderId="0" xfId="0" applyNumberFormat="1" applyAlignment="1">
      <x:alignment horizontal="center"/>
    </x:xf>
    <x:xf numFmtId="0" fontId="0" fillId="0" borderId="2" xfId="0" applyBorder="1" applyAlignment="1">
      <x:alignment horizontal="center"/>
    </x:xf>
    <x:xf numFmtId="164" fontId="0" fillId="0" borderId="2" xfId="0" applyNumberFormat="1" applyBorder="1" applyAlignment="1">
      <x:alignment horizontal="center"/>
    </x:xf>
    <x:xf numFmtId="0" fontId="0" fillId="0" borderId="2" xfId="0" applyBorder="1" applyAlignment="1">
      <x:alignment horizontal="center"/>
    </x:xf>
    <x:xf numFmtId="165" fontId="0" fillId="0" borderId="2" xfId="0" applyNumberFormat="1" applyBorder="1" applyAlignment="1">
      <x:alignment horizontal="center"/>
    </x:xf>
    <x:xf numFmtId="1" fontId="0" fillId="0" borderId="2" xfId="0" applyNumberFormat="1" applyBorder="1" applyAlignment="1">
      <x:alignment horizontal="center"/>
    </x:xf>
    <x:xf numFmtId="164" fontId="0" fillId="0" borderId="0" xfId="0" applyNumberFormat="1" applyAlignment="1">
      <x:alignment horizontal="center"/>
    </x:xf>
    <x:xf numFmtId="0" fontId="0" fillId="0" borderId="3" xfId="0" applyBorder="1" applyAlignment="1">
      <x:alignment horizontal="center"/>
    </x:xf>
    <x:xf numFmtId="0" fontId="0" fillId="0" borderId="3" xfId="0" applyBorder="1" applyAlignment="1">
      <x:alignment horizontal="center"/>
    </x:xf>
    <x:xf numFmtId="164" fontId="0" fillId="0" borderId="3" xfId="0" applyNumberFormat="1" applyBorder="1" applyAlignment="1">
      <x:alignment horizontal="center"/>
    </x:xf>
    <x:xf numFmtId="165" fontId="0" fillId="0" borderId="3" xfId="0" applyNumberFormat="1" applyBorder="1" applyAlignment="1">
      <x:alignment horizontal="center"/>
    </x:xf>
    <x:xf numFmtId="1" fontId="0" fillId="0" borderId="3" xfId="0" applyNumberFormat="1" applyBorder="1" applyAlignment="1">
      <x:alignment horizontal="center"/>
    </x:xf>
    <x:xf numFmtId="0" fontId="0" fillId="4" borderId="0" xfId="0" applyFill="1" applyAlignment="1">
      <x:alignment vertical="top"/>
    </x:xf>
    <x:xf numFmtId="0" fontId="0" fillId="4" borderId="0" xfId="0" applyFill="1"/>
    <x:xf numFmtId="0" fontId="0" fillId="4" borderId="8" xfId="0" applyFill="1" applyBorder="1" applyAlignment="1">
      <x:alignment vertical="top"/>
    </x:xf>
    <x:xf numFmtId="0" fontId="0" fillId="4" borderId="3" xfId="0" applyFill="1" applyBorder="1" applyAlignment="1">
      <x:alignment vertical="top"/>
    </x:xf>
    <x:xf numFmtId="0" fontId="0" fillId="4" borderId="3" xfId="0" applyFill="1" applyBorder="1"/>
    <x:xf numFmtId="0" fontId="0" fillId="4" borderId="9" xfId="0" applyFill="1" applyBorder="1"/>
    <x:xf numFmtId="0" fontId="0" fillId="4" borderId="10" xfId="0" applyFill="1" applyBorder="1" applyAlignment="1">
      <x:alignment vertical="top"/>
    </x:xf>
    <x:xf numFmtId="0" fontId="0" fillId="4" borderId="11" xfId="0" applyFill="1" applyBorder="1"/>
    <x:xf numFmtId="0" fontId="0" fillId="4" borderId="10" xfId="0" applyFill="1" applyBorder="1"/>
    <x:xf numFmtId="0" fontId="0" fillId="4" borderId="12" xfId="0" applyFill="1" applyBorder="1"/>
    <x:xf numFmtId="0" fontId="0" fillId="4" borderId="13" xfId="0" applyFill="1" applyBorder="1"/>
    <x:xf numFmtId="0" fontId="0" fillId="4" borderId="14" xfId="0" applyFill="1" applyBorder="1"/>
    <x:xf numFmtId="0" fontId="7" fillId="3" borderId="0" xfId="0" applyFont="1" applyFill="1"/>
    <x:xf numFmtId="0" fontId="1" fillId="0" borderId="0" xfId="0" applyFont="1"/>
    <x:xf numFmtId="0" fontId="0" fillId="5" borderId="8" xfId="0" applyFill="1" applyBorder="1"/>
    <x:xf numFmtId="0" fontId="0" fillId="5" borderId="3" xfId="0" applyFill="1" applyBorder="1"/>
    <x:xf numFmtId="0" fontId="0" fillId="5" borderId="9" xfId="0" applyFill="1" applyBorder="1"/>
    <x:xf numFmtId="0" fontId="0" fillId="5" borderId="12" xfId="0" applyFill="1" applyBorder="1"/>
    <x:xf numFmtId="0" fontId="0" fillId="5" borderId="13" xfId="0" applyFill="1" applyBorder="1"/>
    <x:xf numFmtId="0" fontId="0" fillId="5" borderId="14" xfId="0" applyFill="1" applyBorder="1"/>
    <x:xf numFmtId="0" fontId="1" fillId="2" borderId="1" xfId="0" applyFont="1" applyFill="1" applyBorder="1" applyAlignment="1">
      <x:alignment horizontal="center" vertical="center"/>
    </x:xf>
    <x:xf numFmtId="0" fontId="1" fillId="2" borderId="1" xfId="0" applyFont="1" applyFill="1" applyBorder="1" applyAlignment="1">
      <x:alignment horizontal="center" vertical="center" wrapText="1"/>
    </x:xf>
    <x:xf numFmtId="165" fontId="1" fillId="2" borderId="1" xfId="0" applyNumberFormat="1" applyFont="1" applyFill="1" applyBorder="1" applyAlignment="1">
      <x:alignment horizontal="center" vertical="center"/>
    </x:xf>
    <x:xf numFmtId="1" fontId="1" fillId="2" borderId="1" xfId="0" applyNumberFormat="1" applyFont="1" applyFill="1" applyBorder="1" applyAlignment="1">
      <x:alignment horizontal="center"/>
    </x:xf>
    <x:xf numFmtId="164" fontId="3" fillId="0" borderId="0" xfId="0" applyNumberFormat="1" applyFont="1" applyAlignment="1">
      <x:alignment horizontal="center"/>
    </x:xf>
    <x:xf numFmtId="0" fontId="1" fillId="2" borderId="2" xfId="0" applyFont="1" applyFill="1" applyBorder="1" applyAlignment="1">
      <x:alignment horizontal="center" vertical="center"/>
    </x:xf>
    <x:xf numFmtId="0" fontId="1" fillId="2" borderId="4" xfId="0" applyFont="1" applyFill="1" applyBorder="1" applyAlignment="1">
      <x:alignment horizontal="center" vertical="center"/>
    </x:xf>
    <x:xf numFmtId="1" fontId="1" fillId="2" borderId="5" xfId="0" applyNumberFormat="1" applyFont="1" applyFill="1" applyBorder="1" applyAlignment="1">
      <x:alignment horizontal="center"/>
    </x:xf>
    <x:xf numFmtId="1" fontId="1" fillId="2" borderId="6" xfId="0" applyNumberFormat="1" applyFont="1" applyFill="1" applyBorder="1" applyAlignment="1">
      <x:alignment horizontal="center"/>
    </x:xf>
    <x:xf numFmtId="1" fontId="1" fillId="2" borderId="7" xfId="0" applyNumberFormat="1" applyFont="1" applyFill="1" applyBorder="1" applyAlignment="1">
      <x:alignment horizontal="center"/>
    </x:xf>
    <x:xf numFmtId="0" fontId="1" fillId="4" borderId="5" xfId="0" applyFont="1" applyFill="1" applyBorder="1" applyAlignment="1">
      <x:alignment horizontal="center"/>
    </x:xf>
    <x:xf numFmtId="0" fontId="1" fillId="4" borderId="6" xfId="0" applyFont="1" applyFill="1" applyBorder="1" applyAlignment="1">
      <x:alignment horizontal="center"/>
    </x:xf>
    <x:xf numFmtId="0" fontId="1" fillId="4" borderId="7" xfId="0" applyFont="1" applyFill="1" applyBorder="1" applyAlignment="1">
      <x:alignment horizontal="center"/>
    </x:xf>
    <x:xf numFmtId="0" fontId="1" fillId="5" borderId="5" xfId="0" applyFont="1" applyFill="1" applyBorder="1" applyAlignment="1">
      <x:alignment horizontal="center"/>
    </x:xf>
    <x:xf numFmtId="0" fontId="1" fillId="5" borderId="6" xfId="0" applyFont="1" applyFill="1" applyBorder="1" applyAlignment="1">
      <x:alignment horizontal="center"/>
    </x:xf>
    <x:xf numFmtId="0" fontId="1" fillId="5" borderId="7" xfId="0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9" fillId="6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5" xfId="0" applyNumberFormat="1" applyFont="1" applyFill="1" applyBorder="1"/>
    <x:xf numFmtId="0" fontId="10" fillId="7" borderId="16" xfId="0" applyNumberFormat="1" applyFont="1" applyFill="1" applyBorder="1"/>
    <x:xf numFmtId="0" fontId="10" fillId="7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200" fontId="0" fillId="0" borderId="18" xfId="0" applyNumberFormat="1" applyFont="1" applyFill="1" applyBorder="1"/>
    <x:xf numFmtId="200" fontId="0" fillId="0" borderId="19" xfId="0" applyNumberFormat="1" applyFont="1" applyFill="1" applyBorder="1"/>
    <x:xf numFmtId="200" fontId="0" fillId="0" borderId="20" xfId="0" applyNumberFormat="1" applyFont="1" applyFill="1" applyBorder="1"/>
    <x:xf numFmtId="0" fontId="11" fillId="0" borderId="0" xfId="0" applyNumberFormat="1" applyFont="1" applyFill="1" applyBorder="1"/>
    <x:xf numFmtId="200" fontId="11" fillId="0" borderId="0" xfId="0" applyNumberFormat="1" applyFont="1" applyFill="1" applyBorder="1"/>
    <x:xf numFmtId="0" fontId="11" fillId="8" borderId="0" xfId="0" applyNumberFormat="1" applyFont="1" applyFill="1" applyBorder="1"/>
    <x:xf numFmtId="200" fontId="11" fillId="8" borderId="0" xfId="0" applyNumberFormat="1" applyFont="1" applyFill="1" applyBorder="1"/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200" fontId="12" fillId="8" borderId="0" xfId="0" applyNumberFormat="1" applyFont="1" applyFill="1" applyBorder="1"/>
    <x:xf numFmtId="0" fontId="13" fillId="8" borderId="0" xfId="0" applyNumberFormat="1" applyFont="1" applyFill="1" applyBorder="1"/>
  </x:cellXfs>
  <x:cellStyles count="1">
    <x:cellStyle name="Normal" xfId="0"/>
  </x:cellStyles>
  <x:dxfs count="56">
    <x:dxf>
      <x:font>
        <x:b/>
        <x:color rgb="FFC00000"/>
      </x:font>
    </x:dxf>
    <x:dxf>
      <x:font>
        <x:b/>
        <x:color rgb="FFFF0000"/>
      </x:font>
    </x:dxf>
    <x:dxf>
      <x:font>
        <x:b/>
        <x:color rgb="FFC00000"/>
      </x:font>
    </x:dxf>
    <x:dxf>
      <x:font>
        <x:b/>
        <x:color rgb="FFFF0000"/>
      </x:font>
    </x:dxf>
    <x:dxf>
      <x:fill>
        <x:patternFill>
          <x:bgColor theme="9" tint="0.39995"/>
        </x:patternFill>
      </x:fill>
    </x:dxf>
    <x:dxf>
      <x:font>
        <x:b/>
        <x:color rgb="FFC00000"/>
      </x:font>
    </x:dxf>
    <x:dxf>
      <x:font>
        <x:b/>
        <x:color rgb="FFFF0000"/>
      </x:font>
    </x:dxf>
    <x:dxf>
      <x:font>
        <x:b/>
        <x:color rgb="FFC00000"/>
      </x:font>
    </x:dxf>
    <x:dxf>
      <x:font>
        <x:b/>
        <x:color rgb="FFFF0000"/>
      </x:font>
    </x:dxf>
    <x:dxf>
      <x:font>
        <x:b/>
        <x:color rgb="FFC00000"/>
      </x:font>
    </x:dxf>
    <x:dxf>
      <x:font>
        <x:b/>
        <x:color rgb="FFFF0000"/>
      </x:font>
    </x:dxf>
    <x:dxf>
      <x:fill>
        <x:patternFill>
          <x:bgColor theme="9" tint="0.39995"/>
        </x:patternFill>
      </x:fill>
    </x:dxf>
    <x:dxf>
      <x:font>
        <x:b/>
        <x:color rgb="FFC00000"/>
      </x:font>
    </x:dxf>
    <x:dxf>
      <x:font>
        <x:b/>
        <x:color rgb="FFFF0000"/>
      </x:font>
    </x:dxf>
    <x:dxf>
      <x:font>
        <x:b/>
        <x:color rgb="FFC00000"/>
      </x:font>
    </x:dxf>
    <x:dxf>
      <x:font>
        <x:b/>
        <x:color rgb="FFFF0000"/>
      </x:font>
    </x:dxf>
    <x:dxf>
      <x:font>
        <x:b/>
        <x:color rgb="FFC00000"/>
      </x:font>
    </x:dxf>
    <x:dxf>
      <x:font>
        <x:b/>
        <x:color rgb="FFFF0000"/>
      </x:font>
    </x:dxf>
    <x:dxf>
      <x:fill>
        <x:patternFill>
          <x:bgColor theme="9" tint="0.39995"/>
        </x:patternFill>
      </x:fill>
    </x:dxf>
    <x:dxf>
      <x:font>
        <x:b/>
        <x:color rgb="FFC00000"/>
      </x:font>
    </x:dxf>
    <x:dxf>
      <x:font>
        <x:b/>
        <x:color rgb="FFFF0000"/>
      </x:font>
    </x:dxf>
    <x:dxf>
      <x:font>
        <x:b/>
        <x:color rgb="FFC00000"/>
      </x:font>
    </x:dxf>
    <x:dxf>
      <x:font>
        <x:b/>
        <x:color rgb="FFFF0000"/>
      </x:font>
    </x:dxf>
    <x:dxf>
      <x:font>
        <x:b/>
        <x:color rgb="FFC00000"/>
      </x:font>
    </x:dxf>
    <x:dxf>
      <x:font>
        <x:b/>
        <x:color rgb="FFFF0000"/>
      </x:font>
    </x:dxf>
    <x:dxf>
      <x:fill>
        <x:patternFill>
          <x:bgColor theme="9" tint="0.39995"/>
        </x:patternFill>
      </x:fill>
    </x:dxf>
    <x:dxf>
      <x:font>
        <x:b/>
        <x:color rgb="FFC00000"/>
      </x:font>
    </x:dxf>
    <x:dxf>
      <x:font>
        <x:b/>
        <x:color rgb="FFFF0000"/>
      </x:font>
    </x:dxf>
    <x:dxf>
      <x:font>
        <x:b/>
        <x:color rgb="FFC00000"/>
      </x:font>
    </x:dxf>
    <x:dxf>
      <x:font>
        <x:b/>
        <x:color rgb="FFFF0000"/>
      </x:font>
    </x:dxf>
    <x:dxf>
      <x:font>
        <x:b/>
        <x:color rgb="FFC00000"/>
      </x:font>
    </x:dxf>
    <x:dxf>
      <x:font>
        <x:b/>
        <x:color rgb="FFFF0000"/>
      </x:font>
    </x:dxf>
    <x:dxf>
      <x:fill>
        <x:patternFill>
          <x:bgColor theme="9" tint="0.39995"/>
        </x:patternFill>
      </x:fill>
    </x:dxf>
    <x:dxf>
      <x:font>
        <x:b/>
        <x:color rgb="FFC00000"/>
      </x:font>
    </x:dxf>
    <x:dxf>
      <x:font>
        <x:b/>
        <x:color rgb="FFFF0000"/>
      </x:font>
    </x:dxf>
    <x:dxf>
      <x:font>
        <x:b/>
        <x:color rgb="FFC00000"/>
      </x:font>
    </x:dxf>
    <x:dxf>
      <x:font>
        <x:b/>
        <x:color rgb="FFFF0000"/>
      </x:font>
    </x:dxf>
    <x:dxf>
      <x:font>
        <x:b/>
        <x:color rgb="FFC00000"/>
      </x:font>
    </x:dxf>
    <x:dxf>
      <x:font>
        <x:b/>
        <x:color rgb="FFFF0000"/>
      </x:font>
    </x:dxf>
    <x:dxf>
      <x:font>
        <x:b/>
        <x:color rgb="FFC00000"/>
      </x:font>
    </x:dxf>
    <x:dxf>
      <x:font>
        <x:b/>
        <x:color rgb="FFFF0000"/>
      </x:font>
    </x:dxf>
    <x:dxf>
      <x:font>
        <x:b/>
        <x:color rgb="FFC00000"/>
      </x:font>
    </x:dxf>
    <x:dxf>
      <x:font>
        <x:b/>
        <x:color rgb="FFFF0000"/>
      </x:font>
    </x:dxf>
    <x:dxf>
      <x:fill>
        <x:patternFill>
          <x:bgColor theme="9" tint="0.39995"/>
        </x:patternFill>
      </x:fill>
    </x:dxf>
    <x:dxf>
      <x:fill>
        <x:patternFill>
          <x:bgColor theme="9" tint="0.39995"/>
        </x:patternFill>
      </x:fill>
    </x:dxf>
    <x:dxf>
      <x:font>
        <x:b/>
        <x:color rgb="FFC00000"/>
      </x:font>
    </x:dxf>
    <x:dxf>
      <x:font>
        <x:b/>
        <x:color rgb="FFFF0000"/>
      </x:font>
    </x:dxf>
    <x:dxf>
      <x:font>
        <x:b/>
        <x:color rgb="FFC00000"/>
      </x:font>
    </x:dxf>
    <x:dxf>
      <x:font>
        <x:b/>
        <x:color rgb="FFFF0000"/>
      </x:font>
    </x:dxf>
    <x:dxf>
      <x:font>
        <x:b/>
        <x:color rgb="FFC00000"/>
      </x:font>
    </x:dxf>
    <x:dxf>
      <x:font>
        <x:b/>
        <x:color rgb="FFFF0000"/>
      </x:font>
    </x:dxf>
    <x:dxf>
      <x:font>
        <x:b/>
        <x:color rgb="FFC00000"/>
      </x:font>
    </x:dxf>
    <x:dxf>
      <x:font>
        <x:b/>
        <x:color rgb="FFFF0000"/>
      </x:font>
    </x:dxf>
    <x:dxf>
      <x:fill>
        <x:patternFill>
          <x:bgColor theme="9" tint="0.39995"/>
        </x:patternFill>
      </x:fill>
    </x:dxf>
    <x:dxf>
      <x:font>
        <x:b/>
        <x:color rgb="FFC00000"/>
      </x:font>
    </x:dxf>
    <x:dxf>
      <x:font>
        <x:b/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d1db7e0364641" /><Relationship Type="http://schemas.openxmlformats.org/officeDocument/2006/relationships/theme" Target="/xl/theme/theme1.xml" Id="R4e2a0d73c3ca41b5" /><Relationship Type="http://schemas.openxmlformats.org/officeDocument/2006/relationships/sharedStrings" Target="/xl/sharedStrings.xml" Id="Rabc487cd065f426b" /><Relationship Type="http://schemas.openxmlformats.org/officeDocument/2006/relationships/worksheet" Target="/xl/worksheets/sheet1.xml" Id="R077c0e725eea4a96" /><Relationship Type="http://schemas.openxmlformats.org/officeDocument/2006/relationships/worksheet" Target="/xl/worksheets/sheet2.xml" Id="R90d4590c24e844dc" /><Relationship Type="http://schemas.openxmlformats.org/officeDocument/2006/relationships/worksheet" Target="/xl/worksheets/sheet3.xml" Id="R8cd44424cc4b4c5a" /><Relationship Type="http://schemas.openxmlformats.org/officeDocument/2006/relationships/worksheet" Target="/xl/worksheets/sheet4.xml" Id="Rf7850a66672f4668" /><Relationship Type="http://schemas.openxmlformats.org/officeDocument/2006/relationships/worksheet" Target="/xl/worksheets/sheet5.xml" Id="Re1f9153e69364b14" /><Relationship Type="http://schemas.openxmlformats.org/officeDocument/2006/relationships/worksheet" Target="/xl/worksheets/sheet6.xml" Id="Rdc650e26f78e4def" /><Relationship Type="http://schemas.openxmlformats.org/officeDocument/2006/relationships/worksheet" Target="/xl/worksheets/sheet7.xml" Id="Ra6c7033023ab4acf" /><Relationship Type="http://schemas.openxmlformats.org/officeDocument/2006/relationships/worksheet" Target="/xl/worksheets/sheet8.xml" Id="R49bdc3e1ab68484b" /><Relationship Type="http://schemas.openxmlformats.org/officeDocument/2006/relationships/worksheet" Target="/xl/worksheets/sheet9.xml" Id="Rd5e7add07879465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dab48072a9a45f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f8a95f97bf4e7f" /><Relationship Type="http://schemas.openxmlformats.org/officeDocument/2006/relationships/chart" Target="/xl/drawings/charts/chart2.xml" Id="R45a1a871c95249c1" /><Relationship Type="http://schemas.openxmlformats.org/officeDocument/2006/relationships/chart" Target="/xl/drawings/charts/chart3.xml" Id="R023f88f439b8475e" /><Relationship Type="http://schemas.openxmlformats.org/officeDocument/2006/relationships/chart" Target="/xl/drawings/charts/chart4.xml" Id="R11519c4dc668450e" /><Relationship Type="http://schemas.openxmlformats.org/officeDocument/2006/relationships/chart" Target="/xl/drawings/charts/chart5.xml" Id="Rfff1e6362edb4769" /><Relationship Type="http://schemas.openxmlformats.org/officeDocument/2006/relationships/chart" Target="/xl/drawings/charts/chart6.xml" Id="R97a348e868d54902" /><Relationship Type="http://schemas.openxmlformats.org/officeDocument/2006/relationships/chart" Target="/xl/drawings/charts/chart7.xml" Id="R5668d2a56a8d4469" /><Relationship Type="http://schemas.openxmlformats.org/officeDocument/2006/relationships/chart" Target="/xl/drawings/charts/chart8.xml" Id="Ra5fe90f63e5f41f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All Brands: 10-Min Flat Screen Totals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Bundle (pcs)</c:v>
          </c:tx>
          <c:dLbls/>
          <c:cat>
            <c:strRef>
              <c:f>'10Min Charts'!$A$5:$A$11</c:f>
              <c:strCache>
                <c:ptCount val="0"/>
              </c:strCache>
            </c:strRef>
          </c:cat>
          <c:val>
            <c:numRef>
              <c:f>'10Min Charts'!$B$5:$B$11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Twist (pcs)</c:v>
          </c:tx>
          <c:dLbls/>
          <c:cat>
            <c:strRef>
              <c:f>'10Min Charts'!$A$5:$A$11</c:f>
              <c:strCache>
                <c:ptCount val="0"/>
              </c:strCache>
            </c:strRef>
          </c:cat>
          <c:val>
            <c:numRef>
              <c:f>'10Min Charts'!$C$5:$C$11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Tangle (pcs)</c:v>
          </c:tx>
          <c:dLbls/>
          <c:cat>
            <c:strRef>
              <c:f>'10Min Charts'!$A$5:$A$11</c:f>
              <c:strCache>
                <c:ptCount val="0"/>
              </c:strCache>
            </c:strRef>
          </c:cat>
          <c:val>
            <c:numRef>
              <c:f>'10Min Charts'!$D$5:$D$11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Defect (pcs)</c:v>
          </c:tx>
          <c:dLbls/>
          <c:cat>
            <c:strRef>
              <c:f>'10Min Charts'!$A$5:$A$11</c:f>
              <c:strCache>
                <c:ptCount val="0"/>
              </c:strCache>
            </c:strRef>
          </c:cat>
          <c:val>
            <c:numRef>
              <c:f>'10Min Charts'!$E$5:$E$11</c:f>
              <c:numCache>
                <c:formatCode>#,##0</c:formatCode>
                <c:ptCount val="0"/>
              </c:numCache>
            </c:numRef>
          </c:val>
        </c:ser>
        <c:ser>
          <c:idx val="4"/>
          <c:order val="4"/>
          <c:tx>
            <c:v>Long filament</c:v>
          </c:tx>
          <c:dLbls/>
          <c:cat>
            <c:strRef>
              <c:f>'10Min Charts'!$A$5:$A$11</c:f>
              <c:strCache>
                <c:ptCount val="0"/>
              </c:strCache>
            </c:strRef>
          </c:cat>
          <c:val>
            <c:numRef>
              <c:f>'10Min Charts'!$F$5:$F$11</c:f>
              <c:numCache>
                <c:formatCode>#,##0</c:formatCode>
                <c:ptCount val="0"/>
              </c:numCache>
            </c:numRef>
          </c:val>
        </c:ser>
        <c:ser>
          <c:idx val="5"/>
          <c:order val="5"/>
          <c:tx>
            <c:v>Remain (g)</c:v>
          </c:tx>
          <c:dLbls/>
          <c:cat>
            <c:strRef>
              <c:f>'10Min Charts'!$A$5:$A$11</c:f>
              <c:strCache>
                <c:ptCount val="0"/>
              </c:strCache>
            </c:strRef>
          </c:cat>
          <c:val>
            <c:numRef>
              <c:f>'10Min Charts'!$G$5:$G$11</c:f>
              <c:numCache>
                <c:formatCode>#,##0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SD3.0_5N(C) - 10 min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Value</c:v>
          </c:tx>
          <c:dLbls/>
          <c:cat>
            <c:strRef>
              <c:f>'10Min Charts'!$A$16:$A$21</c:f>
              <c:strCache>
                <c:ptCount val="0"/>
              </c:strCache>
            </c:strRef>
          </c:cat>
          <c:val>
            <c:numRef>
              <c:f>'10Min Charts'!$B$16:$B$21</c:f>
              <c:numCache>
                <c:formatCode>#,##0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SD0.5_5N(E) - 10 min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Value</c:v>
          </c:tx>
          <c:dLbls/>
          <c:cat>
            <c:strRef>
              <c:f>'10Min Charts'!$A$25:$A$30</c:f>
              <c:strCache>
                <c:ptCount val="0"/>
              </c:strCache>
            </c:strRef>
          </c:cat>
          <c:val>
            <c:numRef>
              <c:f>'10Min Charts'!$B$25:$B$30</c:f>
              <c:numCache>
                <c:formatCode>#,##0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SD1.1_5NU(E) - 10 min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Value</c:v>
          </c:tx>
          <c:dLbls/>
          <c:cat>
            <c:strRef>
              <c:f>'10Min Charts'!$A$34:$A$39</c:f>
              <c:strCache>
                <c:ptCount val="0"/>
              </c:strCache>
            </c:strRef>
          </c:cat>
          <c:val>
            <c:numRef>
              <c:f>'10Min Charts'!$B$34:$B$39</c:f>
              <c:numCache>
                <c:formatCode>#,##0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SD1.1_5NU(E)T - 10 min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Value</c:v>
          </c:tx>
          <c:dLbls/>
          <c:cat>
            <c:strRef>
              <c:f>'10Min Charts'!$A$43:$A$48</c:f>
              <c:strCache>
                <c:ptCount val="0"/>
              </c:strCache>
            </c:strRef>
          </c:cat>
          <c:val>
            <c:numRef>
              <c:f>'10Min Charts'!$B$43:$B$48</c:f>
              <c:numCache>
                <c:formatCode>#,##0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SDJC1.5_5N(E) - 10 min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Value</c:v>
          </c:tx>
          <c:dLbls/>
          <c:cat>
            <c:strRef>
              <c:f>'10Min Charts'!$A$52:$A$57</c:f>
              <c:strCache>
                <c:ptCount val="0"/>
              </c:strCache>
            </c:strRef>
          </c:cat>
          <c:val>
            <c:numRef>
              <c:f>'10Min Charts'!$B$52:$B$57</c:f>
              <c:numCache>
                <c:formatCode>#,##0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SDJC2.0_5N(E) - 10 min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Value</c:v>
          </c:tx>
          <c:dLbls/>
          <c:cat>
            <c:strRef>
              <c:f>'10Min Charts'!$A$61:$A$66</c:f>
              <c:strCache>
                <c:ptCount val="0"/>
              </c:strCache>
            </c:strRef>
          </c:cat>
          <c:val>
            <c:numRef>
              <c:f>'10Min Charts'!$B$61:$B$66</c:f>
              <c:numCache>
                <c:formatCode>#,##0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SD1.1_5NUK(C) - 10 min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Value</c:v>
          </c:tx>
          <c:dLbls/>
          <c:cat>
            <c:strRef>
              <c:f>'10Min Charts'!$A$70:$A$75</c:f>
              <c:strCache>
                <c:ptCount val="0"/>
              </c:strCache>
            </c:strRef>
          </c:cat>
          <c:val>
            <c:numRef>
              <c:f>'10Min Charts'!$B$70:$B$75</c:f>
              <c:numCache>
                <c:formatCode>#,##0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 editAs="oneCell">
    <xdr:from>
      <xdr:col>8</xdr:col>
      <xdr:colOff>0</xdr:colOff>
      <xdr:row>20</xdr:row>
      <xdr:rowOff>0</xdr:rowOff>
    </xdr:from>
    <xdr:to>
      <xdr:col>20</xdr:col>
      <xdr:colOff>46358</xdr:colOff>
      <xdr:row>48</xdr:row>
      <xdr:rowOff>99512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ab48072a9a45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9</xdr:col>
      <xdr:colOff>0</xdr:colOff>
      <xdr:row>0</xdr:row>
      <xdr:rowOff>0</xdr:rowOff>
    </xdr:from>
    <xdr:to>
      <xdr:col>24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f8a95f97bf4e7f"/>
        </a:graphicData>
      </a:graphic>
    </xdr:graphicFrame>
    <xdr:clientData/>
  </xdr:twoCellAnchor>
  <xdr:twoCellAnchor>
    <xdr:from>
      <xdr:col>3</xdr:col>
      <xdr:colOff>0</xdr:colOff>
      <xdr:row>20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a1a871c95249c1"/>
        </a:graphicData>
      </a:graphic>
    </xdr:graphicFrame>
    <xdr:clientData/>
  </xdr:twoCellAnchor>
  <xdr:twoCellAnchor>
    <xdr:from>
      <xdr:col>13</xdr:col>
      <xdr:colOff>0</xdr:colOff>
      <xdr:row>20</xdr:row>
      <xdr:rowOff>0</xdr:rowOff>
    </xdr:from>
    <xdr:to>
      <xdr:col>23</xdr:col>
      <xdr:colOff>0</xdr:colOff>
      <xdr:row>35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3f88f439b8475e"/>
        </a:graphicData>
      </a:graphic>
    </xdr:graphicFrame>
    <xdr:clientData/>
  </xdr:twoCellAnchor>
  <xdr:twoCellAnchor>
    <xdr:from>
      <xdr:col>3</xdr:col>
      <xdr:colOff>0</xdr:colOff>
      <xdr:row>38</xdr:row>
      <xdr:rowOff>0</xdr:rowOff>
    </xdr:from>
    <xdr:to>
      <xdr:col>13</xdr:col>
      <xdr:colOff>0</xdr:colOff>
      <xdr:row>53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519c4dc668450e"/>
        </a:graphicData>
      </a:graphic>
    </xdr:graphicFrame>
    <xdr:clientData/>
  </xdr:twoCellAnchor>
  <xdr:twoCellAnchor>
    <xdr:from>
      <xdr:col>13</xdr:col>
      <xdr:colOff>0</xdr:colOff>
      <xdr:row>38</xdr:row>
      <xdr:rowOff>0</xdr:rowOff>
    </xdr:from>
    <xdr:to>
      <xdr:col>23</xdr:col>
      <xdr:colOff>0</xdr:colOff>
      <xdr:row>53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f1e6362edb4769"/>
        </a:graphicData>
      </a:graphic>
    </xdr:graphicFrame>
    <xdr:clientData/>
  </xdr:twoCellAnchor>
  <xdr:twoCellAnchor>
    <xdr:from>
      <xdr:col>3</xdr:col>
      <xdr:colOff>0</xdr:colOff>
      <xdr:row>56</xdr:row>
      <xdr:rowOff>0</xdr:rowOff>
    </xdr:from>
    <xdr:to>
      <xdr:col>13</xdr:col>
      <xdr:colOff>0</xdr:colOff>
      <xdr:row>71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7a348e868d54902"/>
        </a:graphicData>
      </a:graphic>
    </xdr:graphicFrame>
    <xdr:clientData/>
  </xdr:twoCellAnchor>
  <xdr:twoCellAnchor>
    <xdr:from>
      <xdr:col>13</xdr:col>
      <xdr:colOff>0</xdr:colOff>
      <xdr:row>56</xdr:row>
      <xdr:rowOff>0</xdr:rowOff>
    </xdr:from>
    <xdr:to>
      <xdr:col>23</xdr:col>
      <xdr:colOff>0</xdr:colOff>
      <xdr:row>71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668d2a56a8d4469"/>
        </a:graphicData>
      </a:graphic>
    </xdr:graphicFrame>
    <xdr:clientData/>
  </xdr:twoCellAnchor>
  <xdr:twoCellAnchor>
    <xdr:from>
      <xdr:col>3</xdr:col>
      <xdr:colOff>0</xdr:colOff>
      <xdr:row>74</xdr:row>
      <xdr:rowOff>0</xdr:rowOff>
    </xdr:from>
    <xdr:to>
      <xdr:col>13</xdr:col>
      <xdr:colOff>0</xdr:colOff>
      <xdr:row>89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fe90f63e5f41f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f93caff7d2c04b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2.xml" Id="Rf3dccf984ce647bc" /></Relationships>
</file>

<file path=xl/worksheets/sheet1.xml><?xml version="1.0" encoding="utf-8"?>
<x:worksheet xmlns:x="http://schemas.openxmlformats.org/spreadsheetml/2006/main">
  <x:sheetFormatPr defaultColWidth="9.109375" defaultRowHeight="14.399999618530273"/>
  <x:cols>
    <x:col min="1" max="1" width="5.109375" customWidth="1"/>
    <x:col min="2" max="7" width="12.6640625" style="16" customWidth="1"/>
    <x:col min="8" max="10" width="12.6640625" style="23" customWidth="1"/>
    <x:col min="11" max="16" width="12.6640625" style="24" customWidth="1"/>
    <x:col min="17" max="17" width="12.6640625" style="16" customWidth="1"/>
  </x:cols>
  <x:sheetData>
    <x:row r="1" s="6" customFormat="1" ht="23.399999618530273">
      <x:c r="A1" s="1" t="s">
        <x:v>0</x:v>
      </x:c>
      <x:c r="B1" s="60" t="s">
        <x:v>1</x:v>
      </x:c>
      <x:c r="C1" s="60"/>
      <x:c r="D1" s="60"/>
      <x:c r="E1" s="2" t="s">
        <x:v>2</x:v>
      </x:c>
      <x:c r="F1" s="3"/>
      <x:c r="G1" s="3"/>
      <x:c r="H1" s="4"/>
      <x:c r="I1" s="4"/>
      <x:c r="J1" s="4"/>
      <x:c r="K1" s="5"/>
      <x:c r="L1" s="5"/>
      <x:c r="M1" s="5"/>
      <x:c r="N1" s="5"/>
      <x:c r="O1" s="5"/>
      <x:c r="P1" s="5"/>
      <x:c r="Q1" s="3"/>
    </x:row>
    <x:row r="2" s="6" customFormat="1" ht="15" customHeight="1">
      <x:c r="A2" s="1"/>
      <x:c r="B2" s="56" t="s">
        <x:v>3</x:v>
      </x:c>
      <x:c r="C2" s="57" t="s">
        <x:v>4</x:v>
      </x:c>
      <x:c r="D2" s="57" t="s">
        <x:v>5</x:v>
      </x:c>
      <x:c r="E2" s="57" t="s">
        <x:v>6</x:v>
      </x:c>
      <x:c r="F2" s="57" t="s">
        <x:v>7</x:v>
      </x:c>
      <x:c r="G2" s="57" t="s">
        <x:v>8</x:v>
      </x:c>
      <x:c r="H2" s="57" t="s">
        <x:v>9</x:v>
      </x:c>
      <x:c r="I2" s="8"/>
      <x:c r="J2" s="8"/>
      <x:c r="K2" s="57" t="s">
        <x:v>10</x:v>
      </x:c>
      <x:c r="L2" s="57" t="s">
        <x:v>11</x:v>
      </x:c>
      <x:c r="M2" s="57" t="s">
        <x:v>12</x:v>
      </x:c>
    </x:row>
    <x:row r="3" s="6" customFormat="1" ht="15" customHeight="1">
      <x:c r="A3" s="1"/>
      <x:c r="B3" s="56"/>
      <x:c r="C3" s="57"/>
      <x:c r="D3" s="57"/>
      <x:c r="E3" s="57"/>
      <x:c r="F3" s="57"/>
      <x:c r="G3" s="57"/>
      <x:c r="H3" s="57"/>
      <x:c r="I3" s="8"/>
      <x:c r="J3" s="8"/>
      <x:c r="K3" s="57"/>
      <x:c r="L3" s="57"/>
      <x:c r="M3" s="57"/>
    </x:row>
    <x:row r="4" s="6" customFormat="1" ht="15" customHeight="1">
      <x:c r="A4" s="1"/>
      <x:c r="B4" s="9" t="s">
        <x:v>13</x:v>
      </x:c>
      <x:c r="C4" s="10" t="s">
        <x:v>14</x:v>
      </x:c>
      <x:c r="D4" s="11" t="s">
        <x:v>14</x:v>
      </x:c>
      <x:c r="E4" s="10" t="s">
        <x:v>14</x:v>
      </x:c>
      <x:c r="F4" s="11" t="s">
        <x:v>14</x:v>
      </x:c>
      <x:c r="G4" s="11" t="s">
        <x:v>14</x:v>
      </x:c>
      <x:c r="H4" s="11" t="s">
        <x:v>14</x:v>
      </x:c>
      <x:c r="I4" s="11" t="s">
        <x:v>14</x:v>
      </x:c>
      <x:c r="J4" s="11" t="s">
        <x:v>14</x:v>
      </x:c>
      <x:c r="K4" s="11" t="s">
        <x:v>14</x:v>
      </x:c>
      <x:c r="L4" s="10" t="e">
        <x:f>VLOOKUP(A1,[2]Std!1:1048576,24,FALSE)</x:f>
        <x:v>#NAME?</x:v>
      </x:c>
      <x:c r="M4" s="12" t="e">
        <x:f>VLOOKUP(A1,[2]Std!1:1048576,27,FALSE)</x:f>
        <x:v>#NAME?</x:v>
      </x:c>
    </x:row>
    <x:row r="5" s="6" customFormat="1" ht="15" customHeight="1">
      <x:c r="A5" s="1"/>
      <x:c r="B5" s="9" t="s">
        <x:v>15</x:v>
      </x:c>
      <x:c r="C5" s="10">
        <x:v>1</x:v>
      </x:c>
      <x:c r="D5" s="11">
        <x:v>0.2</x:v>
      </x:c>
      <x:c r="E5" s="10">
        <x:v>2</x:v>
      </x:c>
      <x:c r="F5" s="11">
        <x:v>1</x:v>
      </x:c>
      <x:c r="G5" s="11" t="s">
        <x:v>14</x:v>
      </x:c>
      <x:c r="H5" s="11" t="s">
        <x:v>14</x:v>
      </x:c>
      <x:c r="I5" s="11" t="s">
        <x:v>14</x:v>
      </x:c>
      <x:c r="J5" s="11" t="s">
        <x:v>14</x:v>
      </x:c>
      <x:c r="K5" s="11" t="s">
        <x:v>14</x:v>
      </x:c>
      <x:c r="L5" s="11">
        <x:v>0</x:v>
      </x:c>
      <x:c r="M5" s="11">
        <x:v>3.8</x:v>
      </x:c>
    </x:row>
    <x:row r="6" s="6" customFormat="1" ht="15" customHeight="1">
      <x:c r="A6" s="1"/>
      <x:c r="B6" s="9" t="s">
        <x:v>16</x:v>
      </x:c>
      <x:c r="C6" s="10">
        <x:v>2</x:v>
      </x:c>
      <x:c r="D6" s="11">
        <x:v>0.5</x:v>
      </x:c>
      <x:c r="E6" s="10">
        <x:v>3</x:v>
      </x:c>
      <x:c r="F6" s="11">
        <x:v>2</x:v>
      </x:c>
      <x:c r="G6" s="11" t="s">
        <x:v>14</x:v>
      </x:c>
      <x:c r="H6" s="11" t="s">
        <x:v>14</x:v>
      </x:c>
      <x:c r="I6" s="11" t="s">
        <x:v>14</x:v>
      </x:c>
      <x:c r="J6" s="11" t="s">
        <x:v>14</x:v>
      </x:c>
      <x:c r="K6" s="11" t="s">
        <x:v>14</x:v>
      </x:c>
      <x:c r="L6" s="11">
        <x:v>1</x:v>
      </x:c>
      <x:c r="M6" s="11">
        <x:v>3.5</x:v>
      </x:c>
    </x:row>
    <x:row r="7" s="6" customFormat="1" ht="15" customHeight="1">
      <x:c r="A7" s="1"/>
      <x:c r="B7" t="s">
        <x:v>17</x:v>
      </x:c>
      <x:c r="D7" s="3"/>
      <x:c r="E7" s="3"/>
      <x:c r="F7" s="3"/>
      <x:c r="G7" s="3"/>
      <x:c r="H7" s="4"/>
      <x:c r="I7" s="4"/>
      <x:c r="J7" s="4"/>
      <x:c r="K7" s="5"/>
      <x:c r="L7" s="5"/>
      <x:c r="M7" s="5"/>
      <x:c r="N7" s="5"/>
      <x:c r="O7" s="5"/>
      <x:c r="P7" s="5"/>
      <x:c r="Q7" s="3"/>
    </x:row>
    <x:row r="8" s="6" customFormat="1" ht="15" customHeight="1">
      <x:c r="A8" s="1"/>
      <x:c r="B8" t="s">
        <x:v>18</x:v>
      </x:c>
      <x:c r="C8" s="13"/>
      <x:c r="D8" s="3"/>
      <x:c r="E8" s="3"/>
      <x:c r="F8" s="3"/>
      <x:c r="G8" s="3"/>
      <x:c r="L8" t="s">
        <x:v>19</x:v>
      </x:c>
      <x:c r="N8" s="5"/>
      <x:c r="O8" s="5"/>
      <x:c r="P8" s="5"/>
      <x:c r="Q8" s="3"/>
    </x:row>
    <x:row r="9" ht="15" customHeight="1">
      <x:c r="B9" s="57" t="s">
        <x:v>20</x:v>
      </x:c>
      <x:c r="C9" s="57" t="s">
        <x:v>21</x:v>
      </x:c>
      <x:c r="D9" s="56" t="s">
        <x:v>22</x:v>
      </x:c>
      <x:c r="E9" s="9" t="s">
        <x:v>23</x:v>
      </x:c>
      <x:c r="F9" s="14" t="s">
        <x:v>24</x:v>
      </x:c>
      <x:c r="G9" s="9" t="s">
        <x:v>24</x:v>
      </x:c>
      <x:c r="H9" s="58" t="s">
        <x:v>25</x:v>
      </x:c>
      <x:c r="I9" s="15"/>
      <x:c r="J9" s="15"/>
      <x:c r="K9" s="63" t="s">
        <x:v>26</x:v>
      </x:c>
      <x:c r="L9" s="64"/>
      <x:c r="M9" s="64"/>
      <x:c r="N9" s="64"/>
      <x:c r="O9" s="64"/>
      <x:c r="P9" s="65"/>
      <x:c r="Q9" s="61" t="s">
        <x:v>27</x:v>
      </x:c>
      <x:c r="R9" s="16"/>
    </x:row>
    <x:row r="10" ht="28.799999237060547">
      <x:c r="B10" s="56"/>
      <x:c r="C10" s="56"/>
      <x:c r="D10" s="56"/>
      <x:c r="E10" s="7" t="s">
        <x:v>28</x:v>
      </x:c>
      <x:c r="F10" s="8" t="s">
        <x:v>29</x:v>
      </x:c>
      <x:c r="G10" s="8" t="s">
        <x:v>30</x:v>
      </x:c>
      <x:c r="H10" s="58"/>
      <x:c r="I10" s="15" t="s">
        <x:v>31</x:v>
      </x:c>
      <x:c r="J10" s="15" t="s">
        <x:v>32</x:v>
      </x:c>
      <x:c r="K10" s="17" t="s">
        <x:v>33</x:v>
      </x:c>
      <x:c r="L10" s="17" t="s">
        <x:v>34</x:v>
      </x:c>
      <x:c r="M10" s="17" t="s">
        <x:v>35</x:v>
      </x:c>
      <x:c r="N10" s="17" t="s">
        <x:v>36</x:v>
      </x:c>
      <x:c r="O10" s="17" t="s">
        <x:v>10</x:v>
      </x:c>
      <x:c r="P10" s="17" t="s">
        <x:v>37</x:v>
      </x:c>
      <x:c r="Q10" s="62"/>
      <x:c r="R10" s="16"/>
    </x:row>
    <x:row r="11">
      <x:c r="B11" s="18" t="s">
        <x:v>38</x:v>
      </x:c>
      <x:c r="C11" s="18" t="s">
        <x:v>39</x:v>
      </x:c>
      <x:c r="D11" s="19" t="str">
        <x:f>$B$1</x:f>
        <x:v>SD 3.0 x5N(C) </x:v>
      </x:c>
      <x:c r="E11" s="20" t="s">
        <x:v>40</x:v>
      </x:c>
      <x:c r="F11" s="18">
        <x:v>60625</x:v>
      </x:c>
      <x:c r="G11" s="18">
        <x:v>11001</x:v>
      </x:c>
      <x:c r="H11" s="21">
        <x:v>0.34027777777777779</x:v>
      </x:c>
      <x:c r="I11" s="20">
        <x:v>6</x:v>
      </x:c>
      <x:c r="J11" s="20">
        <x:v>1</x:v>
      </x:c>
      <x:c r="K11" s="10">
        <x:v>0</x:v>
      </x:c>
      <x:c r="L11" s="10">
        <x:v>0</x:v>
      </x:c>
      <x:c r="M11" s="10">
        <x:v>0</x:v>
      </x:c>
      <x:c r="N11" s="10" t="n">
        <x:f>L11+M11</x:f>
        <x:v>0</x:v>
      </x:c>
      <x:c r="O11" s="10">
        <x:v>0</x:v>
      </x:c>
      <x:c r="P11" s="10">
        <x:v>0</x:v>
      </x:c>
      <x:c r="Q11" s="20" t="s">
        <x:v>41</x:v>
      </x:c>
    </x:row>
    <x:row r="12" s="16" customFormat="1">
      <x:c r="A12"/>
      <x:c r="B12" s="18"/>
      <x:c r="C12" s="18" t="s">
        <x:v>39</x:v>
      </x:c>
      <x:c r="D12" s="19" t="str">
        <x:f>$B$1</x:f>
        <x:v>SD 3.0 x5N(C) </x:v>
      </x:c>
      <x:c r="E12" s="20" t="s">
        <x:v>40</x:v>
      </x:c>
      <x:c r="F12" s="18">
        <x:v>60625</x:v>
      </x:c>
      <x:c r="G12" s="18">
        <x:v>11001</x:v>
      </x:c>
      <x:c r="H12" s="21">
        <x:v>0.34027777777777779</x:v>
      </x:c>
      <x:c r="I12" s="20">
        <x:v>3</x:v>
      </x:c>
      <x:c r="J12" s="20">
        <x:v>2</x:v>
      </x:c>
      <x:c r="K12" s="10">
        <x:v>0</x:v>
      </x:c>
      <x:c r="L12" s="10">
        <x:v>0</x:v>
      </x:c>
      <x:c r="M12" s="10">
        <x:v>0</x:v>
      </x:c>
      <x:c r="N12" s="10" t="n">
        <x:f>L12+M12</x:f>
        <x:v>0</x:v>
      </x:c>
      <x:c r="O12" s="10">
        <x:v>0</x:v>
      </x:c>
      <x:c r="P12" s="10">
        <x:v>0</x:v>
      </x:c>
      <x:c r="Q12" s="20" t="s">
        <x:v>42</x:v>
      </x:c>
      <x:c r="R12"/>
    </x:row>
    <x:row r="13" s="16" customFormat="1">
      <x:c r="A13"/>
      <x:c r="B13" s="18"/>
      <x:c r="C13" s="18" t="s">
        <x:v>39</x:v>
      </x:c>
      <x:c r="D13" s="19" t="str">
        <x:f t="shared" ref="D13:D25" si="0">$B$1</x:f>
        <x:v>SD 3.0 x5N(C) </x:v>
      </x:c>
      <x:c r="E13" s="20" t="s">
        <x:v>40</x:v>
      </x:c>
      <x:c r="F13" s="18">
        <x:v>60625</x:v>
      </x:c>
      <x:c r="G13" s="18">
        <x:v>11001</x:v>
      </x:c>
      <x:c r="H13" s="21">
        <x:v>0.34027777777777779</x:v>
      </x:c>
      <x:c r="I13" s="20">
        <x:v>6</x:v>
      </x:c>
      <x:c r="J13" s="20">
        <x:v>3</x:v>
      </x:c>
      <x:c r="K13" s="10">
        <x:v>0</x:v>
      </x:c>
      <x:c r="L13" s="10">
        <x:v>0</x:v>
      </x:c>
      <x:c r="M13" s="10">
        <x:v>0</x:v>
      </x:c>
      <x:c r="N13" s="10" t="n">
        <x:f t="shared" ref="N13:N25" si="1">L13+M13</x:f>
        <x:v>0</x:v>
      </x:c>
      <x:c r="O13" s="10">
        <x:v>0</x:v>
      </x:c>
      <x:c r="P13" s="10">
        <x:v>0</x:v>
      </x:c>
      <x:c r="Q13" s="20" t="s">
        <x:v>41</x:v>
      </x:c>
      <x:c r="R13"/>
    </x:row>
    <x:row r="14" s="16" customFormat="1">
      <x:c r="A14"/>
      <x:c r="B14" s="20"/>
      <x:c r="C14" s="18" t="s">
        <x:v>39</x:v>
      </x:c>
      <x:c r="D14" s="19" t="str">
        <x:f t="shared" si="0"/>
        <x:v>SD 3.0 x5N(C) </x:v>
      </x:c>
      <x:c r="E14" s="20" t="s">
        <x:v>40</x:v>
      </x:c>
      <x:c r="F14" s="18">
        <x:v>60625</x:v>
      </x:c>
      <x:c r="G14" s="18">
        <x:v>11001</x:v>
      </x:c>
      <x:c r="H14" s="21">
        <x:v>0.34027777777777779</x:v>
      </x:c>
      <x:c r="I14" s="20">
        <x:v>3</x:v>
      </x:c>
      <x:c r="J14" s="20">
        <x:v>4</x:v>
      </x:c>
      <x:c r="K14" s="10">
        <x:v>0</x:v>
      </x:c>
      <x:c r="L14" s="10">
        <x:v>0</x:v>
      </x:c>
      <x:c r="M14" s="10">
        <x:v>0</x:v>
      </x:c>
      <x:c r="N14" s="10">
        <x:f t="shared" si="1"/>
        <x:v>0</x:v>
      </x:c>
      <x:c r="O14" s="10">
        <x:v>0</x:v>
      </x:c>
      <x:c r="P14" s="10">
        <x:v>0</x:v>
      </x:c>
      <x:c r="Q14" s="20" t="s">
        <x:v>42</x:v>
      </x:c>
      <x:c r="R14"/>
    </x:row>
    <x:row r="15" s="16" customFormat="1">
      <x:c r="A15"/>
      <x:c r="B15" s="20"/>
      <x:c r="C15" s="18" t="s">
        <x:v>39</x:v>
      </x:c>
      <x:c r="D15" s="19" t="str">
        <x:f t="shared" si="0"/>
        <x:v>SD 3.0 x5N(C) </x:v>
      </x:c>
      <x:c r="E15" s="20" t="s">
        <x:v>40</x:v>
      </x:c>
      <x:c r="F15" s="18">
        <x:v>60625</x:v>
      </x:c>
      <x:c r="G15" s="18">
        <x:v>11001</x:v>
      </x:c>
      <x:c r="H15" s="21">
        <x:v>0.34027777777777779</x:v>
      </x:c>
      <x:c r="I15" s="20">
        <x:v>6</x:v>
      </x:c>
      <x:c r="J15" s="20">
        <x:v>5</x:v>
      </x:c>
      <x:c r="K15" s="10">
        <x:v>0</x:v>
      </x:c>
      <x:c r="L15" s="10">
        <x:v>0</x:v>
      </x:c>
      <x:c r="M15" s="10">
        <x:v>0</x:v>
      </x:c>
      <x:c r="N15" s="10">
        <x:f t="shared" si="1"/>
        <x:v>0</x:v>
      </x:c>
      <x:c r="O15" s="10">
        <x:v>0</x:v>
      </x:c>
      <x:c r="P15" s="10">
        <x:v>0</x:v>
      </x:c>
      <x:c r="Q15" s="20" t="s">
        <x:v>41</x:v>
      </x:c>
      <x:c r="R15"/>
    </x:row>
    <x:row r="16" s="16" customFormat="1">
      <x:c r="A16"/>
      <x:c r="B16" s="20"/>
      <x:c r="C16" s="18" t="s">
        <x:v>39</x:v>
      </x:c>
      <x:c r="D16" s="19" t="str">
        <x:f t="shared" si="0"/>
        <x:v>SD 3.0 x5N(C) </x:v>
      </x:c>
      <x:c r="E16" s="20" t="s">
        <x:v>40</x:v>
      </x:c>
      <x:c r="F16" s="18">
        <x:v>60625</x:v>
      </x:c>
      <x:c r="G16" s="18">
        <x:v>11001</x:v>
      </x:c>
      <x:c r="H16" s="21">
        <x:v>0.34027777777777779</x:v>
      </x:c>
      <x:c r="I16" s="20">
        <x:v>3</x:v>
      </x:c>
      <x:c r="J16" s="20">
        <x:v>6</x:v>
      </x:c>
      <x:c r="K16" s="10">
        <x:v>0</x:v>
      </x:c>
      <x:c r="L16" s="10">
        <x:v>0</x:v>
      </x:c>
      <x:c r="M16" s="10">
        <x:v>0</x:v>
      </x:c>
      <x:c r="N16" s="10">
        <x:f t="shared" si="1"/>
        <x:v>0</x:v>
      </x:c>
      <x:c r="O16" s="10">
        <x:v>0</x:v>
      </x:c>
      <x:c r="P16" s="10">
        <x:v>0</x:v>
      </x:c>
      <x:c r="Q16" s="20" t="s">
        <x:v>41</x:v>
      </x:c>
      <x:c r="R16"/>
    </x:row>
    <x:row r="17" s="16" customFormat="1">
      <x:c r="A17"/>
      <x:c r="B17" s="18"/>
      <x:c r="C17" s="18" t="s">
        <x:v>39</x:v>
      </x:c>
      <x:c r="D17" s="19" t="str">
        <x:f t="shared" si="0"/>
        <x:v>SD 3.0 x5N(C) </x:v>
      </x:c>
      <x:c r="E17" s="20" t="s">
        <x:v>40</x:v>
      </x:c>
      <x:c r="F17" s="18">
        <x:v>60625</x:v>
      </x:c>
      <x:c r="G17" s="18">
        <x:v>11001</x:v>
      </x:c>
      <x:c r="H17" s="21">
        <x:v>0.34027777777777779</x:v>
      </x:c>
      <x:c r="I17" s="20">
        <x:v>6</x:v>
      </x:c>
      <x:c r="J17" s="20">
        <x:v>7</x:v>
      </x:c>
      <x:c r="K17" s="10">
        <x:v>0</x:v>
      </x:c>
      <x:c r="L17" s="10">
        <x:v>0</x:v>
      </x:c>
      <x:c r="M17" s="10">
        <x:v>0</x:v>
      </x:c>
      <x:c r="N17" s="10">
        <x:f t="shared" si="1"/>
        <x:v>0</x:v>
      </x:c>
      <x:c r="O17" s="10">
        <x:v>0</x:v>
      </x:c>
      <x:c r="P17" s="10">
        <x:v>0</x:v>
      </x:c>
      <x:c r="Q17" s="20" t="s">
        <x:v>41</x:v>
      </x:c>
      <x:c r="R17"/>
    </x:row>
    <x:row r="18" s="16" customFormat="1">
      <x:c r="A18"/>
      <x:c r="B18" s="18"/>
      <x:c r="C18" s="18" t="s">
        <x:v>39</x:v>
      </x:c>
      <x:c r="D18" s="19" t="str">
        <x:f t="shared" si="0"/>
        <x:v>SD 3.0 x5N(C) </x:v>
      </x:c>
      <x:c r="E18" s="20" t="s">
        <x:v>40</x:v>
      </x:c>
      <x:c r="F18" s="18">
        <x:v>60625</x:v>
      </x:c>
      <x:c r="G18" s="18">
        <x:v>11001</x:v>
      </x:c>
      <x:c r="H18" s="21">
        <x:v>0.34027777777777779</x:v>
      </x:c>
      <x:c r="I18" s="20">
        <x:v>6</x:v>
      </x:c>
      <x:c r="J18" s="20">
        <x:v>8</x:v>
      </x:c>
      <x:c r="K18" s="10">
        <x:v>0</x:v>
      </x:c>
      <x:c r="L18" s="10">
        <x:v>0</x:v>
      </x:c>
      <x:c r="M18" s="10">
        <x:v>0</x:v>
      </x:c>
      <x:c r="N18" s="10">
        <x:f t="shared" si="1"/>
        <x:v>0</x:v>
      </x:c>
      <x:c r="O18" s="10">
        <x:v>0</x:v>
      </x:c>
      <x:c r="P18" s="10">
        <x:v>0</x:v>
      </x:c>
      <x:c r="Q18" s="20" t="s">
        <x:v>42</x:v>
      </x:c>
      <x:c r="R18"/>
    </x:row>
    <x:row r="19" s="16" customFormat="1">
      <x:c r="A19"/>
      <x:c r="B19" s="18"/>
      <x:c r="C19" s="18" t="s">
        <x:v>39</x:v>
      </x:c>
      <x:c r="D19" s="19" t="str">
        <x:f t="shared" si="0"/>
        <x:v>SD 3.0 x5N(C) </x:v>
      </x:c>
      <x:c r="E19" s="20" t="s">
        <x:v>40</x:v>
      </x:c>
      <x:c r="F19" s="18">
        <x:v>60625</x:v>
      </x:c>
      <x:c r="G19" s="18">
        <x:v>11001</x:v>
      </x:c>
      <x:c r="H19" s="21">
        <x:v>0.34027777777777779</x:v>
      </x:c>
      <x:c r="I19" s="20">
        <x:v>6</x:v>
      </x:c>
      <x:c r="J19" s="20">
        <x:v>9</x:v>
      </x:c>
      <x:c r="K19" s="10">
        <x:v>0</x:v>
      </x:c>
      <x:c r="L19" s="10">
        <x:v>0</x:v>
      </x:c>
      <x:c r="M19" s="10">
        <x:v>0</x:v>
      </x:c>
      <x:c r="N19" s="10">
        <x:f t="shared" si="1"/>
        <x:v>0</x:v>
      </x:c>
      <x:c r="O19" s="10">
        <x:v>0</x:v>
      </x:c>
      <x:c r="P19" s="10">
        <x:v>0</x:v>
      </x:c>
      <x:c r="Q19" s="20" t="s">
        <x:v>41</x:v>
      </x:c>
      <x:c r="R19"/>
    </x:row>
    <x:row r="20" s="16" customFormat="1">
      <x:c r="A20"/>
      <x:c r="B20" s="20"/>
      <x:c r="C20" s="18" t="s">
        <x:v>39</x:v>
      </x:c>
      <x:c r="D20" s="19" t="str">
        <x:f t="shared" si="0"/>
        <x:v>SD 3.0 x5N(C) </x:v>
      </x:c>
      <x:c r="E20" s="20" t="s">
        <x:v>40</x:v>
      </x:c>
      <x:c r="F20" s="18">
        <x:v>60625</x:v>
      </x:c>
      <x:c r="G20" s="18">
        <x:v>11001</x:v>
      </x:c>
      <x:c r="H20" s="21">
        <x:v>0.34027777777777779</x:v>
      </x:c>
      <x:c r="I20" s="20">
        <x:v>6</x:v>
      </x:c>
      <x:c r="J20" s="20">
        <x:v>10</x:v>
      </x:c>
      <x:c r="K20" s="10">
        <x:v>0</x:v>
      </x:c>
      <x:c r="L20" s="10">
        <x:v>0</x:v>
      </x:c>
      <x:c r="M20" s="10">
        <x:v>0</x:v>
      </x:c>
      <x:c r="N20" s="10">
        <x:f t="shared" si="1"/>
        <x:v>0</x:v>
      </x:c>
      <x:c r="O20" s="10">
        <x:v>0</x:v>
      </x:c>
      <x:c r="P20" s="10">
        <x:v>0</x:v>
      </x:c>
      <x:c r="Q20" s="20" t="s">
        <x:v>41</x:v>
      </x:c>
      <x:c r="R20"/>
    </x:row>
    <x:row r="21" s="16" customFormat="1">
      <x:c r="A21"/>
      <x:c r="B21" s="20"/>
      <x:c r="C21" s="18" t="s">
        <x:v>39</x:v>
      </x:c>
      <x:c r="D21" s="19" t="str">
        <x:f t="shared" si="0"/>
        <x:v>SD 3.0 x5N(C) </x:v>
      </x:c>
      <x:c r="E21" s="20" t="s">
        <x:v>40</x:v>
      </x:c>
      <x:c r="F21" s="18">
        <x:v>60625</x:v>
      </x:c>
      <x:c r="G21" s="18">
        <x:v>11001</x:v>
      </x:c>
      <x:c r="H21" s="21">
        <x:v>0.34027777777777779</x:v>
      </x:c>
      <x:c r="I21" s="20">
        <x:v>6</x:v>
      </x:c>
      <x:c r="J21" s="20">
        <x:v>11</x:v>
      </x:c>
      <x:c r="K21" s="10">
        <x:v>0</x:v>
      </x:c>
      <x:c r="L21" s="10">
        <x:v>0</x:v>
      </x:c>
      <x:c r="M21" s="10">
        <x:v>1</x:v>
      </x:c>
      <x:c r="N21" s="10">
        <x:f t="shared" si="1"/>
        <x:v>1</x:v>
      </x:c>
      <x:c r="O21" s="10">
        <x:v>1</x:v>
      </x:c>
      <x:c r="P21" s="10">
        <x:v>0</x:v>
      </x:c>
      <x:c r="Q21" s="20" t="s">
        <x:v>42</x:v>
      </x:c>
      <x:c r="R21"/>
    </x:row>
    <x:row r="22" s="16" customFormat="1">
      <x:c r="A22"/>
      <x:c r="B22" s="20"/>
      <x:c r="C22" s="18" t="s">
        <x:v>39</x:v>
      </x:c>
      <x:c r="D22" s="19" t="str">
        <x:f t="shared" si="0"/>
        <x:v>SD 3.0 x5N(C) </x:v>
      </x:c>
      <x:c r="E22" s="20" t="s">
        <x:v>40</x:v>
      </x:c>
      <x:c r="F22" s="18">
        <x:v>60625</x:v>
      </x:c>
      <x:c r="G22" s="18">
        <x:v>11001</x:v>
      </x:c>
      <x:c r="H22" s="21">
        <x:v>0.34027777777777779</x:v>
      </x:c>
      <x:c r="I22" s="20">
        <x:v>6</x:v>
      </x:c>
      <x:c r="J22" s="20">
        <x:v>12</x:v>
      </x:c>
      <x:c r="K22" s="10">
        <x:v>0</x:v>
      </x:c>
      <x:c r="L22" s="10">
        <x:v>0</x:v>
      </x:c>
      <x:c r="M22" s="10">
        <x:v>0</x:v>
      </x:c>
      <x:c r="N22" s="10">
        <x:f t="shared" si="1"/>
        <x:v>0</x:v>
      </x:c>
      <x:c r="O22" s="10">
        <x:v>0</x:v>
      </x:c>
      <x:c r="P22" s="10">
        <x:v>0</x:v>
      </x:c>
      <x:c r="Q22" s="20" t="s">
        <x:v>41</x:v>
      </x:c>
      <x:c r="R22"/>
    </x:row>
    <x:row r="23" s="16" customFormat="1" ht="15" customHeight="1">
      <x:c r="A23"/>
      <x:c r="B23" s="20"/>
      <x:c r="C23" s="18" t="s">
        <x:v>39</x:v>
      </x:c>
      <x:c r="D23" s="19" t="str">
        <x:f t="shared" si="0"/>
        <x:v>SD 3.0 x5N(C) </x:v>
      </x:c>
      <x:c r="E23" s="20" t="s">
        <x:v>40</x:v>
      </x:c>
      <x:c r="F23" s="18">
        <x:v>60625</x:v>
      </x:c>
      <x:c r="G23" s="18">
        <x:v>11001</x:v>
      </x:c>
      <x:c r="H23" s="21">
        <x:v>0.34027777777777779</x:v>
      </x:c>
      <x:c r="I23" s="20">
        <x:v>6</x:v>
      </x:c>
      <x:c r="J23" s="20">
        <x:v>13</x:v>
      </x:c>
      <x:c r="K23" s="10">
        <x:v>0</x:v>
      </x:c>
      <x:c r="L23" s="10">
        <x:v>0</x:v>
      </x:c>
      <x:c r="M23" s="10">
        <x:v>0</x:v>
      </x:c>
      <x:c r="N23" s="10">
        <x:f t="shared" si="1"/>
        <x:v>0</x:v>
      </x:c>
      <x:c r="O23" s="10">
        <x:v>0</x:v>
      </x:c>
      <x:c r="P23" s="10">
        <x:v>0</x:v>
      </x:c>
      <x:c r="Q23" s="20" t="s">
        <x:v>42</x:v>
      </x:c>
      <x:c r="R23"/>
    </x:row>
    <x:row r="24" s="16" customFormat="1" ht="15" customHeight="1">
      <x:c r="A24"/>
      <x:c r="B24" s="20"/>
      <x:c r="C24" s="18" t="s">
        <x:v>39</x:v>
      </x:c>
      <x:c r="D24" s="19" t="str">
        <x:f t="shared" si="0"/>
        <x:v>SD 3.0 x5N(C) </x:v>
      </x:c>
      <x:c r="E24" s="20" t="s">
        <x:v>40</x:v>
      </x:c>
      <x:c r="F24" s="18">
        <x:v>60625</x:v>
      </x:c>
      <x:c r="G24" s="18">
        <x:v>11001</x:v>
      </x:c>
      <x:c r="H24" s="21">
        <x:v>0.34027777777777779</x:v>
      </x:c>
      <x:c r="I24" s="20">
        <x:v>6</x:v>
      </x:c>
      <x:c r="J24" s="20">
        <x:v>14</x:v>
      </x:c>
      <x:c r="K24" s="10">
        <x:v>0</x:v>
      </x:c>
      <x:c r="L24" s="10">
        <x:v>0</x:v>
      </x:c>
      <x:c r="M24" s="10">
        <x:v>0</x:v>
      </x:c>
      <x:c r="N24" s="10">
        <x:f t="shared" si="1"/>
        <x:v>0</x:v>
      </x:c>
      <x:c r="O24" s="10">
        <x:v>0</x:v>
      </x:c>
      <x:c r="P24" s="10">
        <x:v>0</x:v>
      </x:c>
      <x:c r="Q24" s="20" t="s">
        <x:v>41</x:v>
      </x:c>
      <x:c r="R24"/>
    </x:row>
    <x:row r="25" s="16" customFormat="1" ht="15" customHeight="1">
      <x:c r="A25"/>
      <x:c r="B25" s="20"/>
      <x:c r="C25" s="18" t="s">
        <x:v>39</x:v>
      </x:c>
      <x:c r="D25" s="19" t="str">
        <x:f t="shared" si="0"/>
        <x:v>SD 3.0 x5N(C) </x:v>
      </x:c>
      <x:c r="E25" s="20" t="s">
        <x:v>40</x:v>
      </x:c>
      <x:c r="F25" s="18">
        <x:v>60625</x:v>
      </x:c>
      <x:c r="G25" s="18">
        <x:v>11001</x:v>
      </x:c>
      <x:c r="H25" s="21">
        <x:v>0.34027777777777779</x:v>
      </x:c>
      <x:c r="I25" s="20">
        <x:v>6</x:v>
      </x:c>
      <x:c r="J25" s="20">
        <x:v>15</x:v>
      </x:c>
      <x:c r="K25" s="10">
        <x:v>0</x:v>
      </x:c>
      <x:c r="L25" s="10">
        <x:v>0</x:v>
      </x:c>
      <x:c r="M25" s="10">
        <x:v>0</x:v>
      </x:c>
      <x:c r="N25" s="10">
        <x:f t="shared" si="1"/>
        <x:v>0</x:v>
      </x:c>
      <x:c r="O25" s="10">
        <x:v>0</x:v>
      </x:c>
      <x:c r="P25" s="10">
        <x:v>0</x:v>
      </x:c>
      <x:c r="Q25" s="20" t="s">
        <x:v>42</x:v>
      </x:c>
      <x:c r="R25"/>
    </x:row>
    <x:row r="26" s="16" customFormat="1">
      <x:c r="A26"/>
      <x:c r="C26" s="22"/>
      <x:c r="D26" s="30"/>
      <x:c r="F26" s="22"/>
      <x:c r="G26" s="22"/>
      <x:c r="H26" s="23"/>
      <x:c r="I26" s="23"/>
      <x:c r="K26" s="24"/>
      <x:c r="L26" s="24"/>
      <x:c r="M26" s="24"/>
      <x:c r="N26" s="24"/>
      <x:c r="O26" s="24"/>
      <x:c r="P26" s="24"/>
      <x:c r="R26"/>
    </x:row>
    <x:row r="27" s="16" customFormat="1">
      <x:c r="A27"/>
      <x:c r="F27" s="22"/>
      <x:c r="H27" s="23"/>
      <x:c r="I27" s="23"/>
      <x:c r="J27" s="23"/>
      <x:c r="K27" s="24"/>
      <x:c r="L27" s="24"/>
      <x:c r="M27" s="24"/>
      <x:c r="N27" s="24"/>
      <x:c r="O27" s="24"/>
      <x:c r="P27" s="24"/>
      <x:c r="R27"/>
    </x:row>
    <x:row r="28" s="16" customFormat="1">
      <x:c r="A28"/>
      <x:c r="F28" s="22"/>
      <x:c r="H28" s="23"/>
      <x:c r="I28" s="23"/>
      <x:c r="J28" s="23"/>
      <x:c r="K28" s="24"/>
      <x:c r="L28" s="24"/>
      <x:c r="M28" s="24"/>
      <x:c r="N28" s="24"/>
      <x:c r="O28" s="24"/>
      <x:c r="P28" s="24"/>
      <x:c r="R28"/>
    </x:row>
    <x:row r="29" s="16" customFormat="1">
      <x:c r="A29"/>
      <x:c r="B29" s="57" t="s">
        <x:v>20</x:v>
      </x:c>
      <x:c r="C29" s="57" t="s">
        <x:v>21</x:v>
      </x:c>
      <x:c r="D29" s="56" t="s">
        <x:v>22</x:v>
      </x:c>
      <x:c r="E29" s="9" t="s">
        <x:v>23</x:v>
      </x:c>
      <x:c r="F29" s="14" t="s">
        <x:v>24</x:v>
      </x:c>
      <x:c r="G29" s="9" t="s">
        <x:v>24</x:v>
      </x:c>
      <x:c r="H29" s="58" t="s">
        <x:v>25</x:v>
      </x:c>
      <x:c r="I29" s="15"/>
      <x:c r="J29" s="15"/>
      <x:c r="K29" s="59" t="s">
        <x:v>26</x:v>
      </x:c>
      <x:c r="L29" s="59"/>
      <x:c r="M29" s="59"/>
      <x:c r="N29" s="59"/>
      <x:c r="O29" s="59"/>
      <x:c r="P29" s="59"/>
      <x:c r="Q29" s="56" t="s">
        <x:v>27</x:v>
      </x:c>
      <x:c r="R29"/>
    </x:row>
    <x:row r="30" s="16" customFormat="1" ht="28.799999237060547">
      <x:c r="A30"/>
      <x:c r="B30" s="56"/>
      <x:c r="C30" s="56"/>
      <x:c r="D30" s="56"/>
      <x:c r="E30" s="7" t="s">
        <x:v>28</x:v>
      </x:c>
      <x:c r="F30" s="8" t="s">
        <x:v>29</x:v>
      </x:c>
      <x:c r="G30" s="8" t="s">
        <x:v>30</x:v>
      </x:c>
      <x:c r="H30" s="58"/>
      <x:c r="I30" s="15" t="s">
        <x:v>31</x:v>
      </x:c>
      <x:c r="J30" s="15" t="s">
        <x:v>32</x:v>
      </x:c>
      <x:c r="K30" s="17" t="s">
        <x:v>33</x:v>
      </x:c>
      <x:c r="L30" s="17" t="s">
        <x:v>34</x:v>
      </x:c>
      <x:c r="M30" s="17" t="s">
        <x:v>35</x:v>
      </x:c>
      <x:c r="N30" s="17" t="s">
        <x:v>36</x:v>
      </x:c>
      <x:c r="O30" s="17" t="s">
        <x:v>10</x:v>
      </x:c>
      <x:c r="P30" s="17" t="s">
        <x:v>37</x:v>
      </x:c>
      <x:c r="Q30" s="56"/>
      <x:c r="R30"/>
    </x:row>
    <x:row r="31" s="16" customFormat="1">
      <x:c r="A31"/>
      <x:c r="B31" s="18" t="s">
        <x:v>38</x:v>
      </x:c>
      <x:c r="C31" s="18" t="s">
        <x:v>39</x:v>
      </x:c>
      <x:c r="D31" s="19" t="str">
        <x:f>$B$1</x:f>
        <x:v>SD 3.0 x5N(C) </x:v>
      </x:c>
      <x:c r="E31" s="20" t="s">
        <x:v>40</x:v>
      </x:c>
      <x:c r="F31" s="18">
        <x:v>60625</x:v>
      </x:c>
      <x:c r="G31" s="18">
        <x:v>11001</x:v>
      </x:c>
      <x:c r="H31" s="21">
        <x:v>0.34027777777777779</x:v>
      </x:c>
      <x:c r="I31" s="20">
        <x:v>6</x:v>
      </x:c>
      <x:c r="J31" s="20">
        <x:v>1</x:v>
      </x:c>
      <x:c r="K31" s="10">
        <x:v>0</x:v>
      </x:c>
      <x:c r="L31" s="10">
        <x:v>0</x:v>
      </x:c>
      <x:c r="M31" s="10">
        <x:v>0</x:v>
      </x:c>
      <x:c r="N31" s="10" t="n">
        <x:f>L31+M31</x:f>
        <x:v>0</x:v>
      </x:c>
      <x:c r="O31" s="10">
        <x:v>0</x:v>
      </x:c>
      <x:c r="P31" s="10">
        <x:v>0</x:v>
      </x:c>
      <x:c r="Q31" s="20" t="s">
        <x:v>43</x:v>
      </x:c>
      <x:c r="R31"/>
    </x:row>
    <x:row r="32" s="16" customFormat="1">
      <x:c r="A32"/>
      <x:c r="B32" s="18"/>
      <x:c r="C32" s="18" t="s">
        <x:v>39</x:v>
      </x:c>
      <x:c r="D32" s="19" t="str">
        <x:f>$B$1</x:f>
        <x:v>SD 3.0 x5N(C) </x:v>
      </x:c>
      <x:c r="E32" s="20" t="s">
        <x:v>40</x:v>
      </x:c>
      <x:c r="F32" s="18">
        <x:v>60625</x:v>
      </x:c>
      <x:c r="G32" s="18">
        <x:v>11001</x:v>
      </x:c>
      <x:c r="H32" s="21">
        <x:v>0.34027777777777779</x:v>
      </x:c>
      <x:c r="I32" s="20">
        <x:v>3</x:v>
      </x:c>
      <x:c r="J32" s="20">
        <x:v>2</x:v>
      </x:c>
      <x:c r="K32" s="10">
        <x:v>0</x:v>
      </x:c>
      <x:c r="L32" s="10">
        <x:v>0</x:v>
      </x:c>
      <x:c r="M32" s="10">
        <x:v>0</x:v>
      </x:c>
      <x:c r="N32" s="10" t="n">
        <x:f>L32+M32</x:f>
        <x:v>0</x:v>
      </x:c>
      <x:c r="O32" s="10">
        <x:v>0</x:v>
      </x:c>
      <x:c r="P32" s="10">
        <x:v>0</x:v>
      </x:c>
      <x:c r="Q32" s="20" t="s">
        <x:v>43</x:v>
      </x:c>
      <x:c r="R32"/>
    </x:row>
    <x:row r="33" s="16" customFormat="1">
      <x:c r="A33"/>
      <x:c r="B33" s="18"/>
      <x:c r="C33" s="18" t="s">
        <x:v>39</x:v>
      </x:c>
      <x:c r="D33" s="19" t="str">
        <x:f t="shared" ref="D33:D45" si="2">$B$1</x:f>
        <x:v>SD 3.0 x5N(C) </x:v>
      </x:c>
      <x:c r="E33" s="20" t="s">
        <x:v>40</x:v>
      </x:c>
      <x:c r="F33" s="18">
        <x:v>60625</x:v>
      </x:c>
      <x:c r="G33" s="18">
        <x:v>11001</x:v>
      </x:c>
      <x:c r="H33" s="21">
        <x:v>0.34027777777777779</x:v>
      </x:c>
      <x:c r="I33" s="20">
        <x:v>6</x:v>
      </x:c>
      <x:c r="J33" s="20">
        <x:v>3</x:v>
      </x:c>
      <x:c r="K33" s="10">
        <x:v>0</x:v>
      </x:c>
      <x:c r="L33" s="10">
        <x:v>0</x:v>
      </x:c>
      <x:c r="M33" s="10">
        <x:v>0</x:v>
      </x:c>
      <x:c r="N33" s="10" t="n">
        <x:f t="shared" ref="N33:N45" si="3">L33+M33</x:f>
        <x:v>0</x:v>
      </x:c>
      <x:c r="O33" s="10">
        <x:v>0</x:v>
      </x:c>
      <x:c r="P33" s="10">
        <x:v>0</x:v>
      </x:c>
      <x:c r="Q33" s="20" t="s">
        <x:v>43</x:v>
      </x:c>
      <x:c r="R33"/>
    </x:row>
    <x:row r="34" s="16" customFormat="1">
      <x:c r="A34"/>
      <x:c r="B34" s="20"/>
      <x:c r="C34" s="18" t="s">
        <x:v>39</x:v>
      </x:c>
      <x:c r="D34" s="19" t="str">
        <x:f t="shared" si="2"/>
        <x:v>SD 3.0 x5N(C) </x:v>
      </x:c>
      <x:c r="E34" s="20" t="s">
        <x:v>40</x:v>
      </x:c>
      <x:c r="F34" s="18">
        <x:v>60625</x:v>
      </x:c>
      <x:c r="G34" s="18">
        <x:v>11001</x:v>
      </x:c>
      <x:c r="H34" s="21">
        <x:v>0.34027777777777779</x:v>
      </x:c>
      <x:c r="I34" s="20">
        <x:v>3</x:v>
      </x:c>
      <x:c r="J34" s="20">
        <x:v>4</x:v>
      </x:c>
      <x:c r="K34" s="10">
        <x:v>0</x:v>
      </x:c>
      <x:c r="L34" s="10">
        <x:v>0</x:v>
      </x:c>
      <x:c r="M34" s="10">
        <x:v>0</x:v>
      </x:c>
      <x:c r="N34" s="10">
        <x:f t="shared" si="3"/>
        <x:v>0</x:v>
      </x:c>
      <x:c r="O34" s="10">
        <x:v>0</x:v>
      </x:c>
      <x:c r="P34" s="10">
        <x:v>0</x:v>
      </x:c>
      <x:c r="Q34" s="20" t="s">
        <x:v>43</x:v>
      </x:c>
      <x:c r="R34"/>
    </x:row>
    <x:row r="35" s="16" customFormat="1">
      <x:c r="A35"/>
      <x:c r="B35" s="20"/>
      <x:c r="C35" s="18" t="s">
        <x:v>39</x:v>
      </x:c>
      <x:c r="D35" s="19" t="str">
        <x:f t="shared" si="2"/>
        <x:v>SD 3.0 x5N(C) </x:v>
      </x:c>
      <x:c r="E35" s="20" t="s">
        <x:v>40</x:v>
      </x:c>
      <x:c r="F35" s="18">
        <x:v>60625</x:v>
      </x:c>
      <x:c r="G35" s="18">
        <x:v>11001</x:v>
      </x:c>
      <x:c r="H35" s="21">
        <x:v>0.34027777777777779</x:v>
      </x:c>
      <x:c r="I35" s="20">
        <x:v>6</x:v>
      </x:c>
      <x:c r="J35" s="20">
        <x:v>5</x:v>
      </x:c>
      <x:c r="K35" s="10">
        <x:v>0</x:v>
      </x:c>
      <x:c r="L35" s="10">
        <x:v>0</x:v>
      </x:c>
      <x:c r="M35" s="10">
        <x:v>0</x:v>
      </x:c>
      <x:c r="N35" s="10">
        <x:f t="shared" si="3"/>
        <x:v>0</x:v>
      </x:c>
      <x:c r="O35" s="10">
        <x:v>0</x:v>
      </x:c>
      <x:c r="P35" s="10">
        <x:v>0</x:v>
      </x:c>
      <x:c r="Q35" s="20" t="s">
        <x:v>43</x:v>
      </x:c>
      <x:c r="R35"/>
    </x:row>
    <x:row r="36" s="16" customFormat="1">
      <x:c r="A36"/>
      <x:c r="B36" s="20"/>
      <x:c r="C36" s="18" t="s">
        <x:v>39</x:v>
      </x:c>
      <x:c r="D36" s="19" t="str">
        <x:f t="shared" si="2"/>
        <x:v>SD 3.0 x5N(C) </x:v>
      </x:c>
      <x:c r="E36" s="20" t="s">
        <x:v>40</x:v>
      </x:c>
      <x:c r="F36" s="18">
        <x:v>60625</x:v>
      </x:c>
      <x:c r="G36" s="18">
        <x:v>11001</x:v>
      </x:c>
      <x:c r="H36" s="21">
        <x:v>0.34027777777777779</x:v>
      </x:c>
      <x:c r="I36" s="20">
        <x:v>3</x:v>
      </x:c>
      <x:c r="J36" s="20">
        <x:v>6</x:v>
      </x:c>
      <x:c r="K36" s="10">
        <x:v>0</x:v>
      </x:c>
      <x:c r="L36" s="10">
        <x:v>0</x:v>
      </x:c>
      <x:c r="M36" s="10">
        <x:v>0</x:v>
      </x:c>
      <x:c r="N36" s="10">
        <x:f t="shared" si="3"/>
        <x:v>0</x:v>
      </x:c>
      <x:c r="O36" s="10">
        <x:v>0</x:v>
      </x:c>
      <x:c r="P36" s="10">
        <x:v>0</x:v>
      </x:c>
      <x:c r="Q36" s="20" t="s">
        <x:v>43</x:v>
      </x:c>
      <x:c r="R36"/>
    </x:row>
    <x:row r="37" s="16" customFormat="1">
      <x:c r="A37"/>
      <x:c r="B37" s="18"/>
      <x:c r="C37" s="18" t="s">
        <x:v>39</x:v>
      </x:c>
      <x:c r="D37" s="19" t="str">
        <x:f t="shared" si="2"/>
        <x:v>SD 3.0 x5N(C) </x:v>
      </x:c>
      <x:c r="E37" s="20" t="s">
        <x:v>40</x:v>
      </x:c>
      <x:c r="F37" s="18">
        <x:v>60625</x:v>
      </x:c>
      <x:c r="G37" s="18">
        <x:v>11001</x:v>
      </x:c>
      <x:c r="H37" s="21">
        <x:v>0.34027777777777779</x:v>
      </x:c>
      <x:c r="I37" s="20">
        <x:v>6</x:v>
      </x:c>
      <x:c r="J37" s="20">
        <x:v>7</x:v>
      </x:c>
      <x:c r="K37" s="10">
        <x:v>0</x:v>
      </x:c>
      <x:c r="L37" s="10">
        <x:v>0</x:v>
      </x:c>
      <x:c r="M37" s="10">
        <x:v>0</x:v>
      </x:c>
      <x:c r="N37" s="10">
        <x:f t="shared" si="3"/>
        <x:v>0</x:v>
      </x:c>
      <x:c r="O37" s="10">
        <x:v>0</x:v>
      </x:c>
      <x:c r="P37" s="10">
        <x:v>0</x:v>
      </x:c>
      <x:c r="Q37" s="20" t="s">
        <x:v>43</x:v>
      </x:c>
      <x:c r="R37"/>
    </x:row>
    <x:row r="38" s="16" customFormat="1">
      <x:c r="A38"/>
      <x:c r="B38" s="18"/>
      <x:c r="C38" s="18" t="s">
        <x:v>39</x:v>
      </x:c>
      <x:c r="D38" s="19" t="str">
        <x:f t="shared" si="2"/>
        <x:v>SD 3.0 x5N(C) </x:v>
      </x:c>
      <x:c r="E38" s="20" t="s">
        <x:v>40</x:v>
      </x:c>
      <x:c r="F38" s="18">
        <x:v>60625</x:v>
      </x:c>
      <x:c r="G38" s="18">
        <x:v>11001</x:v>
      </x:c>
      <x:c r="H38" s="21">
        <x:v>0.34027777777777779</x:v>
      </x:c>
      <x:c r="I38" s="20">
        <x:v>3</x:v>
      </x:c>
      <x:c r="J38" s="20">
        <x:v>8</x:v>
      </x:c>
      <x:c r="K38" s="10">
        <x:v>0</x:v>
      </x:c>
      <x:c r="L38" s="10">
        <x:v>0</x:v>
      </x:c>
      <x:c r="M38" s="10">
        <x:v>0</x:v>
      </x:c>
      <x:c r="N38" s="10">
        <x:f t="shared" si="3"/>
        <x:v>0</x:v>
      </x:c>
      <x:c r="O38" s="10">
        <x:v>0</x:v>
      </x:c>
      <x:c r="P38" s="10">
        <x:v>0</x:v>
      </x:c>
      <x:c r="Q38" s="20" t="s">
        <x:v>43</x:v>
      </x:c>
      <x:c r="R38"/>
    </x:row>
    <x:row r="39" s="16" customFormat="1">
      <x:c r="A39"/>
      <x:c r="B39" s="18"/>
      <x:c r="C39" s="18" t="s">
        <x:v>39</x:v>
      </x:c>
      <x:c r="D39" s="19" t="str">
        <x:f t="shared" si="2"/>
        <x:v>SD 3.0 x5N(C) </x:v>
      </x:c>
      <x:c r="E39" s="20" t="s">
        <x:v>40</x:v>
      </x:c>
      <x:c r="F39" s="18">
        <x:v>60625</x:v>
      </x:c>
      <x:c r="G39" s="18">
        <x:v>11001</x:v>
      </x:c>
      <x:c r="H39" s="21">
        <x:v>0.34027777777777779</x:v>
      </x:c>
      <x:c r="I39" s="20">
        <x:v>6</x:v>
      </x:c>
      <x:c r="J39" s="20">
        <x:v>9</x:v>
      </x:c>
      <x:c r="K39" s="10">
        <x:v>0</x:v>
      </x:c>
      <x:c r="L39" s="10">
        <x:v>0</x:v>
      </x:c>
      <x:c r="M39" s="10">
        <x:v>0</x:v>
      </x:c>
      <x:c r="N39" s="10">
        <x:f t="shared" si="3"/>
        <x:v>0</x:v>
      </x:c>
      <x:c r="O39" s="10">
        <x:v>0</x:v>
      </x:c>
      <x:c r="P39" s="10">
        <x:v>0</x:v>
      </x:c>
      <x:c r="Q39" s="20" t="s">
        <x:v>43</x:v>
      </x:c>
      <x:c r="R39"/>
    </x:row>
    <x:row r="40" s="16" customFormat="1">
      <x:c r="A40"/>
      <x:c r="B40" s="20"/>
      <x:c r="C40" s="18" t="s">
        <x:v>39</x:v>
      </x:c>
      <x:c r="D40" s="19" t="str">
        <x:f t="shared" si="2"/>
        <x:v>SD 3.0 x5N(C) </x:v>
      </x:c>
      <x:c r="E40" s="20" t="s">
        <x:v>40</x:v>
      </x:c>
      <x:c r="F40" s="18">
        <x:v>60625</x:v>
      </x:c>
      <x:c r="G40" s="18">
        <x:v>11001</x:v>
      </x:c>
      <x:c r="H40" s="21">
        <x:v>0.34027777777777779</x:v>
      </x:c>
      <x:c r="I40" s="20">
        <x:v>3</x:v>
      </x:c>
      <x:c r="J40" s="20">
        <x:v>10</x:v>
      </x:c>
      <x:c r="K40" s="10">
        <x:v>0</x:v>
      </x:c>
      <x:c r="L40" s="10">
        <x:v>0</x:v>
      </x:c>
      <x:c r="M40" s="10">
        <x:v>0</x:v>
      </x:c>
      <x:c r="N40" s="10">
        <x:f t="shared" si="3"/>
        <x:v>0</x:v>
      </x:c>
      <x:c r="O40" s="10">
        <x:v>0</x:v>
      </x:c>
      <x:c r="P40" s="10">
        <x:v>0</x:v>
      </x:c>
      <x:c r="Q40" s="20" t="s">
        <x:v>43</x:v>
      </x:c>
      <x:c r="R40"/>
    </x:row>
    <x:row r="41" s="16" customFormat="1">
      <x:c r="A41"/>
      <x:c r="B41" s="20"/>
      <x:c r="C41" s="18" t="s">
        <x:v>39</x:v>
      </x:c>
      <x:c r="D41" s="19" t="str">
        <x:f t="shared" si="2"/>
        <x:v>SD 3.0 x5N(C) </x:v>
      </x:c>
      <x:c r="E41" s="20" t="s">
        <x:v>40</x:v>
      </x:c>
      <x:c r="F41" s="18">
        <x:v>60625</x:v>
      </x:c>
      <x:c r="G41" s="18">
        <x:v>11001</x:v>
      </x:c>
      <x:c r="H41" s="21">
        <x:v>0.34027777777777779</x:v>
      </x:c>
      <x:c r="I41" s="20">
        <x:v>6</x:v>
      </x:c>
      <x:c r="J41" s="20">
        <x:v>11</x:v>
      </x:c>
      <x:c r="K41" s="10">
        <x:v>0</x:v>
      </x:c>
      <x:c r="L41" s="10">
        <x:v>0</x:v>
      </x:c>
      <x:c r="M41" s="10">
        <x:v>0</x:v>
      </x:c>
      <x:c r="N41" s="10">
        <x:f t="shared" si="3"/>
        <x:v>0</x:v>
      </x:c>
      <x:c r="O41" s="10">
        <x:v>0</x:v>
      </x:c>
      <x:c r="P41" s="10">
        <x:v>0</x:v>
      </x:c>
      <x:c r="Q41" s="20" t="s">
        <x:v>43</x:v>
      </x:c>
      <x:c r="R41"/>
    </x:row>
    <x:row r="42" s="16" customFormat="1">
      <x:c r="A42"/>
      <x:c r="B42" s="20"/>
      <x:c r="C42" s="18" t="s">
        <x:v>39</x:v>
      </x:c>
      <x:c r="D42" s="19" t="str">
        <x:f t="shared" si="2"/>
        <x:v>SD 3.0 x5N(C) </x:v>
      </x:c>
      <x:c r="E42" s="20" t="s">
        <x:v>40</x:v>
      </x:c>
      <x:c r="F42" s="18">
        <x:v>60625</x:v>
      </x:c>
      <x:c r="G42" s="18">
        <x:v>11001</x:v>
      </x:c>
      <x:c r="H42" s="21">
        <x:v>0.34027777777777779</x:v>
      </x:c>
      <x:c r="I42" s="20">
        <x:v>3</x:v>
      </x:c>
      <x:c r="J42" s="20">
        <x:v>12</x:v>
      </x:c>
      <x:c r="K42" s="10">
        <x:v>0</x:v>
      </x:c>
      <x:c r="L42" s="10">
        <x:v>0</x:v>
      </x:c>
      <x:c r="M42" s="10">
        <x:v>0</x:v>
      </x:c>
      <x:c r="N42" s="10">
        <x:f t="shared" si="3"/>
        <x:v>0</x:v>
      </x:c>
      <x:c r="O42" s="10">
        <x:v>0</x:v>
      </x:c>
      <x:c r="P42" s="10">
        <x:v>0</x:v>
      </x:c>
      <x:c r="Q42" s="20" t="s">
        <x:v>43</x:v>
      </x:c>
      <x:c r="R42"/>
    </x:row>
    <x:row r="43" s="16" customFormat="1">
      <x:c r="A43"/>
      <x:c r="B43" s="20"/>
      <x:c r="C43" s="18" t="s">
        <x:v>39</x:v>
      </x:c>
      <x:c r="D43" s="19" t="str">
        <x:f t="shared" si="2"/>
        <x:v>SD 3.0 x5N(C) </x:v>
      </x:c>
      <x:c r="E43" s="20" t="s">
        <x:v>40</x:v>
      </x:c>
      <x:c r="F43" s="18">
        <x:v>60625</x:v>
      </x:c>
      <x:c r="G43" s="18">
        <x:v>11001</x:v>
      </x:c>
      <x:c r="H43" s="21">
        <x:v>0.34027777777777779</x:v>
      </x:c>
      <x:c r="I43" s="20">
        <x:v>6</x:v>
      </x:c>
      <x:c r="J43" s="20">
        <x:v>13</x:v>
      </x:c>
      <x:c r="K43" s="10">
        <x:v>0</x:v>
      </x:c>
      <x:c r="L43" s="10">
        <x:v>0</x:v>
      </x:c>
      <x:c r="M43" s="10">
        <x:v>0</x:v>
      </x:c>
      <x:c r="N43" s="10">
        <x:f t="shared" si="3"/>
        <x:v>0</x:v>
      </x:c>
      <x:c r="O43" s="10">
        <x:v>0</x:v>
      </x:c>
      <x:c r="P43" s="10">
        <x:v>0</x:v>
      </x:c>
      <x:c r="Q43" s="20" t="s">
        <x:v>43</x:v>
      </x:c>
      <x:c r="R43"/>
    </x:row>
    <x:row r="44" s="16" customFormat="1">
      <x:c r="A44"/>
      <x:c r="B44" s="20"/>
      <x:c r="C44" s="18" t="s">
        <x:v>39</x:v>
      </x:c>
      <x:c r="D44" s="19" t="str">
        <x:f t="shared" si="2"/>
        <x:v>SD 3.0 x5N(C) </x:v>
      </x:c>
      <x:c r="E44" s="20" t="s">
        <x:v>40</x:v>
      </x:c>
      <x:c r="F44" s="18">
        <x:v>60625</x:v>
      </x:c>
      <x:c r="G44" s="18">
        <x:v>11001</x:v>
      </x:c>
      <x:c r="H44" s="21">
        <x:v>0.34027777777777779</x:v>
      </x:c>
      <x:c r="I44" s="20">
        <x:v>3</x:v>
      </x:c>
      <x:c r="J44" s="20">
        <x:v>14</x:v>
      </x:c>
      <x:c r="K44" s="10">
        <x:v>0</x:v>
      </x:c>
      <x:c r="L44" s="10">
        <x:v>0</x:v>
      </x:c>
      <x:c r="M44" s="10">
        <x:v>0</x:v>
      </x:c>
      <x:c r="N44" s="10">
        <x:f t="shared" si="3"/>
        <x:v>0</x:v>
      </x:c>
      <x:c r="O44" s="10">
        <x:v>0</x:v>
      </x:c>
      <x:c r="P44" s="10">
        <x:v>0</x:v>
      </x:c>
      <x:c r="Q44" s="20" t="s">
        <x:v>43</x:v>
      </x:c>
      <x:c r="R44"/>
    </x:row>
    <x:row r="45" s="16" customFormat="1">
      <x:c r="A45"/>
      <x:c r="B45" s="20"/>
      <x:c r="C45" s="18" t="s">
        <x:v>39</x:v>
      </x:c>
      <x:c r="D45" s="19" t="str">
        <x:f t="shared" si="2"/>
        <x:v>SD 3.0 x5N(C) </x:v>
      </x:c>
      <x:c r="E45" s="20" t="s">
        <x:v>40</x:v>
      </x:c>
      <x:c r="F45" s="18">
        <x:v>60625</x:v>
      </x:c>
      <x:c r="G45" s="18">
        <x:v>11001</x:v>
      </x:c>
      <x:c r="H45" s="21">
        <x:v>0.34027777777777779</x:v>
      </x:c>
      <x:c r="I45" s="20">
        <x:v>6</x:v>
      </x:c>
      <x:c r="J45" s="20">
        <x:v>15</x:v>
      </x:c>
      <x:c r="K45" s="10">
        <x:v>0</x:v>
      </x:c>
      <x:c r="L45" s="10">
        <x:v>0</x:v>
      </x:c>
      <x:c r="M45" s="10">
        <x:v>0</x:v>
      </x:c>
      <x:c r="N45" s="10">
        <x:f t="shared" si="3"/>
        <x:v>0</x:v>
      </x:c>
      <x:c r="O45" s="10">
        <x:v>0</x:v>
      </x:c>
      <x:c r="P45" s="10">
        <x:v>0</x:v>
      </x:c>
      <x:c r="Q45" s="20" t="s">
        <x:v>43</x:v>
      </x:c>
      <x:c r="R45"/>
    </x:row>
    <x:row r="46" s="16" customFormat="1">
      <x:c r="A46"/>
      <x:c r="F46" s="22"/>
      <x:c r="H46" s="23"/>
      <x:c r="I46" s="23"/>
      <x:c r="J46" s="23"/>
      <x:c r="K46" s="24"/>
      <x:c r="L46" s="24"/>
      <x:c r="M46" s="24"/>
      <x:c r="N46" s="24"/>
      <x:c r="O46" s="24"/>
      <x:c r="P46" s="24"/>
      <x:c r="R46"/>
    </x:row>
    <x:row r="47" s="16" customFormat="1">
      <x:c r="A47"/>
      <x:c r="F47" s="22"/>
      <x:c r="H47" s="23"/>
      <x:c r="I47" s="23"/>
      <x:c r="J47" s="23"/>
      <x:c r="K47" s="24"/>
      <x:c r="L47" s="24"/>
      <x:c r="M47" s="24"/>
      <x:c r="N47" s="24"/>
      <x:c r="O47" s="24"/>
      <x:c r="P47" s="24"/>
      <x:c r="R47"/>
    </x:row>
    <x:row r="48" s="16" customFormat="1">
      <x:c r="A48"/>
      <x:c r="F48" s="22"/>
      <x:c r="H48" s="23"/>
      <x:c r="I48" s="23"/>
      <x:c r="J48" s="23"/>
      <x:c r="K48" s="24"/>
      <x:c r="L48" s="24"/>
      <x:c r="M48" s="24"/>
      <x:c r="N48" s="24"/>
      <x:c r="O48" s="24"/>
      <x:c r="P48" s="24"/>
      <x:c r="R48"/>
    </x:row>
    <x:row r="49" s="16" customFormat="1" ht="14.550000190734863" customHeight="1">
      <x:c r="A49"/>
      <x:c r="B49" s="57" t="s">
        <x:v>20</x:v>
      </x:c>
      <x:c r="C49" s="57" t="s">
        <x:v>21</x:v>
      </x:c>
      <x:c r="D49" s="56" t="s">
        <x:v>22</x:v>
      </x:c>
      <x:c r="E49" s="9" t="s">
        <x:v>23</x:v>
      </x:c>
      <x:c r="F49" s="14" t="s">
        <x:v>24</x:v>
      </x:c>
      <x:c r="G49" s="9" t="s">
        <x:v>24</x:v>
      </x:c>
      <x:c r="H49" s="58" t="s">
        <x:v>25</x:v>
      </x:c>
      <x:c r="I49" s="15"/>
      <x:c r="J49" s="15"/>
      <x:c r="K49" s="59" t="s">
        <x:v>26</x:v>
      </x:c>
      <x:c r="L49" s="59"/>
      <x:c r="M49" s="59"/>
      <x:c r="N49" s="59"/>
      <x:c r="O49" s="59"/>
      <x:c r="P49" s="59"/>
      <x:c r="Q49" s="56" t="s">
        <x:v>27</x:v>
      </x:c>
      <x:c r="R49"/>
    </x:row>
    <x:row r="50" s="16" customFormat="1" ht="28.799999237060547">
      <x:c r="A50"/>
      <x:c r="B50" s="56"/>
      <x:c r="C50" s="56"/>
      <x:c r="D50" s="56"/>
      <x:c r="E50" s="7" t="s">
        <x:v>28</x:v>
      </x:c>
      <x:c r="F50" s="8" t="s">
        <x:v>29</x:v>
      </x:c>
      <x:c r="G50" s="8" t="s">
        <x:v>30</x:v>
      </x:c>
      <x:c r="H50" s="58"/>
      <x:c r="I50" s="15" t="s">
        <x:v>31</x:v>
      </x:c>
      <x:c r="J50" s="15" t="s">
        <x:v>32</x:v>
      </x:c>
      <x:c r="K50" s="17" t="s">
        <x:v>33</x:v>
      </x:c>
      <x:c r="L50" s="17" t="s">
        <x:v>34</x:v>
      </x:c>
      <x:c r="M50" s="17" t="s">
        <x:v>35</x:v>
      </x:c>
      <x:c r="N50" s="17" t="s">
        <x:v>36</x:v>
      </x:c>
      <x:c r="O50" s="17" t="s">
        <x:v>10</x:v>
      </x:c>
      <x:c r="P50" s="17" t="s">
        <x:v>37</x:v>
      </x:c>
      <x:c r="Q50" s="56"/>
      <x:c r="R50"/>
    </x:row>
    <x:row r="51" s="16" customFormat="1">
      <x:c r="A51"/>
      <x:c r="B51" s="18" t="s">
        <x:v>38</x:v>
      </x:c>
      <x:c r="C51" s="18" t="s">
        <x:v>39</x:v>
      </x:c>
      <x:c r="D51" s="19" t="str">
        <x:f>$B$1</x:f>
        <x:v>SD 3.0 x5N(C) </x:v>
      </x:c>
      <x:c r="E51" s="20" t="s">
        <x:v>40</x:v>
      </x:c>
      <x:c r="F51" s="18">
        <x:v>60625</x:v>
      </x:c>
      <x:c r="G51" s="18">
        <x:v>11001</x:v>
      </x:c>
      <x:c r="H51" s="21">
        <x:v>0.34027777777777779</x:v>
      </x:c>
      <x:c r="I51" s="20">
        <x:v>3</x:v>
      </x:c>
      <x:c r="J51" s="20">
        <x:v>1</x:v>
      </x:c>
      <x:c r="K51" s="10">
        <x:v>0</x:v>
      </x:c>
      <x:c r="L51" s="10">
        <x:v>0</x:v>
      </x:c>
      <x:c r="M51" s="10">
        <x:v>0</x:v>
      </x:c>
      <x:c r="N51" s="10" t="n">
        <x:f>L51+M51</x:f>
        <x:v>0</x:v>
      </x:c>
      <x:c r="O51" s="10">
        <x:v>0</x:v>
      </x:c>
      <x:c r="P51" s="10">
        <x:v>0</x:v>
      </x:c>
      <x:c r="Q51" s="20" t="s">
        <x:v>44</x:v>
      </x:c>
      <x:c r="R51"/>
    </x:row>
    <x:row r="52" s="16" customFormat="1">
      <x:c r="A52"/>
      <x:c r="B52" s="18"/>
      <x:c r="C52" s="18" t="s">
        <x:v>39</x:v>
      </x:c>
      <x:c r="D52" s="19" t="str">
        <x:f>$B$1</x:f>
        <x:v>SD 3.0 x5N(C) </x:v>
      </x:c>
      <x:c r="E52" s="20" t="s">
        <x:v>40</x:v>
      </x:c>
      <x:c r="F52" s="18">
        <x:v>60625</x:v>
      </x:c>
      <x:c r="G52" s="18">
        <x:v>11001</x:v>
      </x:c>
      <x:c r="H52" s="21">
        <x:v>0.34027777777777779</x:v>
      </x:c>
      <x:c r="I52" s="20">
        <x:v>6</x:v>
      </x:c>
      <x:c r="J52" s="20">
        <x:v>2</x:v>
      </x:c>
      <x:c r="K52" s="10">
        <x:v>0</x:v>
      </x:c>
      <x:c r="L52" s="10">
        <x:v>0</x:v>
      </x:c>
      <x:c r="M52" s="10">
        <x:v>0</x:v>
      </x:c>
      <x:c r="N52" s="10" t="n">
        <x:f>L52+M52</x:f>
        <x:v>0</x:v>
      </x:c>
      <x:c r="O52" s="10">
        <x:v>0</x:v>
      </x:c>
      <x:c r="P52" s="10">
        <x:v>0</x:v>
      </x:c>
      <x:c r="Q52" s="20" t="s">
        <x:v>44</x:v>
      </x:c>
      <x:c r="R52"/>
    </x:row>
    <x:row r="53" s="16" customFormat="1">
      <x:c r="A53"/>
      <x:c r="B53" s="18"/>
      <x:c r="C53" s="18" t="s">
        <x:v>39</x:v>
      </x:c>
      <x:c r="D53" s="19" t="str">
        <x:f t="shared" ref="D53:D65" si="4">$B$1</x:f>
        <x:v>SD 3.0 x5N(C) </x:v>
      </x:c>
      <x:c r="E53" s="20" t="s">
        <x:v>40</x:v>
      </x:c>
      <x:c r="F53" s="18">
        <x:v>60625</x:v>
      </x:c>
      <x:c r="G53" s="18">
        <x:v>11001</x:v>
      </x:c>
      <x:c r="H53" s="21">
        <x:v>0.34027777777777779</x:v>
      </x:c>
      <x:c r="I53" s="20">
        <x:v>6</x:v>
      </x:c>
      <x:c r="J53" s="20">
        <x:v>3</x:v>
      </x:c>
      <x:c r="K53" s="10">
        <x:v>0</x:v>
      </x:c>
      <x:c r="L53" s="10">
        <x:v>0</x:v>
      </x:c>
      <x:c r="M53" s="10">
        <x:v>0</x:v>
      </x:c>
      <x:c r="N53" s="10" t="n">
        <x:f t="shared" ref="N53:N65" si="5">L53+M53</x:f>
        <x:v>0</x:v>
      </x:c>
      <x:c r="O53" s="10">
        <x:v>0</x:v>
      </x:c>
      <x:c r="P53" s="10">
        <x:v>0</x:v>
      </x:c>
      <x:c r="Q53" s="20" t="s">
        <x:v>44</x:v>
      </x:c>
      <x:c r="R53"/>
    </x:row>
    <x:row r="54" s="16" customFormat="1">
      <x:c r="A54"/>
      <x:c r="B54" s="20"/>
      <x:c r="C54" s="18" t="s">
        <x:v>39</x:v>
      </x:c>
      <x:c r="D54" s="19" t="str">
        <x:f t="shared" si="4"/>
        <x:v>SD 3.0 x5N(C) </x:v>
      </x:c>
      <x:c r="E54" s="20" t="s">
        <x:v>40</x:v>
      </x:c>
      <x:c r="F54" s="18">
        <x:v>60625</x:v>
      </x:c>
      <x:c r="G54" s="18">
        <x:v>11001</x:v>
      </x:c>
      <x:c r="H54" s="21">
        <x:v>0.34027777777777779</x:v>
      </x:c>
      <x:c r="I54" s="20">
        <x:v>3</x:v>
      </x:c>
      <x:c r="J54" s="20">
        <x:v>4</x:v>
      </x:c>
      <x:c r="K54" s="10">
        <x:v>0</x:v>
      </x:c>
      <x:c r="L54" s="10">
        <x:v>0</x:v>
      </x:c>
      <x:c r="M54" s="10">
        <x:v>0</x:v>
      </x:c>
      <x:c r="N54" s="10">
        <x:f t="shared" si="5"/>
        <x:v>0</x:v>
      </x:c>
      <x:c r="O54" s="10">
        <x:v>0</x:v>
      </x:c>
      <x:c r="P54" s="10">
        <x:v>0</x:v>
      </x:c>
      <x:c r="Q54" s="20" t="s">
        <x:v>44</x:v>
      </x:c>
      <x:c r="R54"/>
    </x:row>
    <x:row r="55" s="16" customFormat="1">
      <x:c r="A55"/>
      <x:c r="B55" s="20"/>
      <x:c r="C55" s="18" t="s">
        <x:v>39</x:v>
      </x:c>
      <x:c r="D55" s="19" t="str">
        <x:f t="shared" si="4"/>
        <x:v>SD 3.0 x5N(C) </x:v>
      </x:c>
      <x:c r="E55" s="20" t="s">
        <x:v>40</x:v>
      </x:c>
      <x:c r="F55" s="18">
        <x:v>60625</x:v>
      </x:c>
      <x:c r="G55" s="18">
        <x:v>11001</x:v>
      </x:c>
      <x:c r="H55" s="21">
        <x:v>0.34027777777777779</x:v>
      </x:c>
      <x:c r="I55" s="20">
        <x:v>6</x:v>
      </x:c>
      <x:c r="J55" s="20">
        <x:v>5</x:v>
      </x:c>
      <x:c r="K55" s="10">
        <x:v>0</x:v>
      </x:c>
      <x:c r="L55" s="10">
        <x:v>0</x:v>
      </x:c>
      <x:c r="M55" s="10">
        <x:v>0</x:v>
      </x:c>
      <x:c r="N55" s="10">
        <x:f t="shared" si="5"/>
        <x:v>0</x:v>
      </x:c>
      <x:c r="O55" s="10">
        <x:v>0</x:v>
      </x:c>
      <x:c r="P55" s="10">
        <x:v>0</x:v>
      </x:c>
      <x:c r="Q55" s="20" t="s">
        <x:v>44</x:v>
      </x:c>
      <x:c r="R55"/>
    </x:row>
    <x:row r="56" s="16" customFormat="1">
      <x:c r="A56"/>
      <x:c r="B56" s="20"/>
      <x:c r="C56" s="18" t="s">
        <x:v>39</x:v>
      </x:c>
      <x:c r="D56" s="19" t="str">
        <x:f t="shared" si="4"/>
        <x:v>SD 3.0 x5N(C) </x:v>
      </x:c>
      <x:c r="E56" s="20" t="s">
        <x:v>40</x:v>
      </x:c>
      <x:c r="F56" s="18">
        <x:v>60625</x:v>
      </x:c>
      <x:c r="G56" s="18">
        <x:v>11001</x:v>
      </x:c>
      <x:c r="H56" s="21">
        <x:v>0.34027777777777779</x:v>
      </x:c>
      <x:c r="I56" s="20">
        <x:v>3</x:v>
      </x:c>
      <x:c r="J56" s="20">
        <x:v>6</x:v>
      </x:c>
      <x:c r="K56" s="10">
        <x:v>0</x:v>
      </x:c>
      <x:c r="L56" s="10">
        <x:v>0</x:v>
      </x:c>
      <x:c r="M56" s="10">
        <x:v>0</x:v>
      </x:c>
      <x:c r="N56" s="10">
        <x:f t="shared" si="5"/>
        <x:v>0</x:v>
      </x:c>
      <x:c r="O56" s="10">
        <x:v>0</x:v>
      </x:c>
      <x:c r="P56" s="10">
        <x:v>0</x:v>
      </x:c>
      <x:c r="Q56" s="20" t="s">
        <x:v>44</x:v>
      </x:c>
      <x:c r="R56"/>
    </x:row>
    <x:row r="57" s="16" customFormat="1">
      <x:c r="A57"/>
      <x:c r="B57" s="18"/>
      <x:c r="C57" s="18" t="s">
        <x:v>39</x:v>
      </x:c>
      <x:c r="D57" s="19" t="str">
        <x:f t="shared" si="4"/>
        <x:v>SD 3.0 x5N(C) </x:v>
      </x:c>
      <x:c r="E57" s="20" t="s">
        <x:v>40</x:v>
      </x:c>
      <x:c r="F57" s="18">
        <x:v>60625</x:v>
      </x:c>
      <x:c r="G57" s="18">
        <x:v>11001</x:v>
      </x:c>
      <x:c r="H57" s="21">
        <x:v>0.34027777777777779</x:v>
      </x:c>
      <x:c r="I57" s="20">
        <x:v>6</x:v>
      </x:c>
      <x:c r="J57" s="20">
        <x:v>7</x:v>
      </x:c>
      <x:c r="K57" s="10">
        <x:v>0</x:v>
      </x:c>
      <x:c r="L57" s="10">
        <x:v>0</x:v>
      </x:c>
      <x:c r="M57" s="10">
        <x:v>0</x:v>
      </x:c>
      <x:c r="N57" s="10">
        <x:f t="shared" si="5"/>
        <x:v>0</x:v>
      </x:c>
      <x:c r="O57" s="10">
        <x:v>0</x:v>
      </x:c>
      <x:c r="P57" s="10">
        <x:v>0</x:v>
      </x:c>
      <x:c r="Q57" s="20" t="s">
        <x:v>44</x:v>
      </x:c>
      <x:c r="R57"/>
    </x:row>
    <x:row r="58" s="16" customFormat="1">
      <x:c r="A58"/>
      <x:c r="B58" s="18"/>
      <x:c r="C58" s="18" t="s">
        <x:v>39</x:v>
      </x:c>
      <x:c r="D58" s="19" t="str">
        <x:f t="shared" si="4"/>
        <x:v>SD 3.0 x5N(C) </x:v>
      </x:c>
      <x:c r="E58" s="20" t="s">
        <x:v>40</x:v>
      </x:c>
      <x:c r="F58" s="18">
        <x:v>60625</x:v>
      </x:c>
      <x:c r="G58" s="18">
        <x:v>11001</x:v>
      </x:c>
      <x:c r="H58" s="21">
        <x:v>0.34027777777777779</x:v>
      </x:c>
      <x:c r="I58" s="20">
        <x:v>3</x:v>
      </x:c>
      <x:c r="J58" s="20">
        <x:v>8</x:v>
      </x:c>
      <x:c r="K58" s="10">
        <x:v>0</x:v>
      </x:c>
      <x:c r="L58" s="10">
        <x:v>0</x:v>
      </x:c>
      <x:c r="M58" s="10">
        <x:v>0</x:v>
      </x:c>
      <x:c r="N58" s="10">
        <x:f t="shared" si="5"/>
        <x:v>0</x:v>
      </x:c>
      <x:c r="O58" s="10">
        <x:v>0</x:v>
      </x:c>
      <x:c r="P58" s="10">
        <x:v>0</x:v>
      </x:c>
      <x:c r="Q58" s="20" t="s">
        <x:v>44</x:v>
      </x:c>
      <x:c r="R58"/>
    </x:row>
    <x:row r="59" s="16" customFormat="1">
      <x:c r="A59"/>
      <x:c r="B59" s="18"/>
      <x:c r="C59" s="18" t="s">
        <x:v>39</x:v>
      </x:c>
      <x:c r="D59" s="19" t="str">
        <x:f t="shared" si="4"/>
        <x:v>SD 3.0 x5N(C) </x:v>
      </x:c>
      <x:c r="E59" s="20" t="s">
        <x:v>40</x:v>
      </x:c>
      <x:c r="F59" s="18">
        <x:v>60625</x:v>
      </x:c>
      <x:c r="G59" s="18">
        <x:v>11001</x:v>
      </x:c>
      <x:c r="H59" s="21">
        <x:v>0.34027777777777779</x:v>
      </x:c>
      <x:c r="I59" s="20">
        <x:v>6</x:v>
      </x:c>
      <x:c r="J59" s="20">
        <x:v>9</x:v>
      </x:c>
      <x:c r="K59" s="10">
        <x:v>0</x:v>
      </x:c>
      <x:c r="L59" s="10">
        <x:v>0</x:v>
      </x:c>
      <x:c r="M59" s="10">
        <x:v>0</x:v>
      </x:c>
      <x:c r="N59" s="10">
        <x:f t="shared" si="5"/>
        <x:v>0</x:v>
      </x:c>
      <x:c r="O59" s="10">
        <x:v>0</x:v>
      </x:c>
      <x:c r="P59" s="10">
        <x:v>0</x:v>
      </x:c>
      <x:c r="Q59" s="20" t="s">
        <x:v>44</x:v>
      </x:c>
      <x:c r="R59"/>
    </x:row>
    <x:row r="60" s="16" customFormat="1">
      <x:c r="A60"/>
      <x:c r="B60" s="20"/>
      <x:c r="C60" s="18" t="s">
        <x:v>39</x:v>
      </x:c>
      <x:c r="D60" s="19" t="str">
        <x:f t="shared" si="4"/>
        <x:v>SD 3.0 x5N(C) </x:v>
      </x:c>
      <x:c r="E60" s="20" t="s">
        <x:v>40</x:v>
      </x:c>
      <x:c r="F60" s="18">
        <x:v>60625</x:v>
      </x:c>
      <x:c r="G60" s="18">
        <x:v>11001</x:v>
      </x:c>
      <x:c r="H60" s="21">
        <x:v>0.34027777777777779</x:v>
      </x:c>
      <x:c r="I60" s="20">
        <x:v>3</x:v>
      </x:c>
      <x:c r="J60" s="20">
        <x:v>10</x:v>
      </x:c>
      <x:c r="K60" s="10">
        <x:v>0</x:v>
      </x:c>
      <x:c r="L60" s="10">
        <x:v>0</x:v>
      </x:c>
      <x:c r="M60" s="10">
        <x:v>0</x:v>
      </x:c>
      <x:c r="N60" s="10">
        <x:f t="shared" si="5"/>
        <x:v>0</x:v>
      </x:c>
      <x:c r="O60" s="10">
        <x:v>0</x:v>
      </x:c>
      <x:c r="P60" s="10">
        <x:v>0</x:v>
      </x:c>
      <x:c r="Q60" s="20" t="s">
        <x:v>44</x:v>
      </x:c>
      <x:c r="R60"/>
    </x:row>
    <x:row r="61" s="16" customFormat="1">
      <x:c r="A61"/>
      <x:c r="B61" s="20"/>
      <x:c r="C61" s="18" t="s">
        <x:v>39</x:v>
      </x:c>
      <x:c r="D61" s="19" t="str">
        <x:f t="shared" si="4"/>
        <x:v>SD 3.0 x5N(C) </x:v>
      </x:c>
      <x:c r="E61" s="20" t="s">
        <x:v>40</x:v>
      </x:c>
      <x:c r="F61" s="18">
        <x:v>60625</x:v>
      </x:c>
      <x:c r="G61" s="18">
        <x:v>11001</x:v>
      </x:c>
      <x:c r="H61" s="21">
        <x:v>0.34027777777777779</x:v>
      </x:c>
      <x:c r="I61" s="20">
        <x:v>3</x:v>
      </x:c>
      <x:c r="J61" s="20">
        <x:v>11</x:v>
      </x:c>
      <x:c r="K61" s="10">
        <x:v>0</x:v>
      </x:c>
      <x:c r="L61" s="10">
        <x:v>0</x:v>
      </x:c>
      <x:c r="M61" s="10">
        <x:v>0</x:v>
      </x:c>
      <x:c r="N61" s="10">
        <x:f t="shared" si="5"/>
        <x:v>0</x:v>
      </x:c>
      <x:c r="O61" s="10">
        <x:v>0</x:v>
      </x:c>
      <x:c r="P61" s="10">
        <x:v>0</x:v>
      </x:c>
      <x:c r="Q61" s="20" t="s">
        <x:v>44</x:v>
      </x:c>
      <x:c r="R61"/>
    </x:row>
    <x:row r="62" s="16" customFormat="1">
      <x:c r="A62"/>
      <x:c r="B62" s="20"/>
      <x:c r="C62" s="18" t="s">
        <x:v>39</x:v>
      </x:c>
      <x:c r="D62" s="19" t="str">
        <x:f t="shared" si="4"/>
        <x:v>SD 3.0 x5N(C) </x:v>
      </x:c>
      <x:c r="E62" s="20" t="s">
        <x:v>40</x:v>
      </x:c>
      <x:c r="F62" s="18">
        <x:v>60625</x:v>
      </x:c>
      <x:c r="G62" s="18">
        <x:v>11001</x:v>
      </x:c>
      <x:c r="H62" s="21">
        <x:v>0.34027777777777779</x:v>
      </x:c>
      <x:c r="I62" s="20">
        <x:v>6</x:v>
      </x:c>
      <x:c r="J62" s="20">
        <x:v>12</x:v>
      </x:c>
      <x:c r="K62" s="10">
        <x:v>0</x:v>
      </x:c>
      <x:c r="L62" s="10">
        <x:v>0</x:v>
      </x:c>
      <x:c r="M62" s="10">
        <x:v>0</x:v>
      </x:c>
      <x:c r="N62" s="10">
        <x:f t="shared" si="5"/>
        <x:v>0</x:v>
      </x:c>
      <x:c r="O62" s="10">
        <x:v>0</x:v>
      </x:c>
      <x:c r="P62" s="10">
        <x:v>0</x:v>
      </x:c>
      <x:c r="Q62" s="20" t="s">
        <x:v>44</x:v>
      </x:c>
      <x:c r="R62"/>
    </x:row>
    <x:row r="63" s="16" customFormat="1">
      <x:c r="A63"/>
      <x:c r="B63" s="20"/>
      <x:c r="C63" s="18" t="s">
        <x:v>39</x:v>
      </x:c>
      <x:c r="D63" s="19" t="str">
        <x:f t="shared" si="4"/>
        <x:v>SD 3.0 x5N(C) </x:v>
      </x:c>
      <x:c r="E63" s="20" t="s">
        <x:v>40</x:v>
      </x:c>
      <x:c r="F63" s="18">
        <x:v>60625</x:v>
      </x:c>
      <x:c r="G63" s="18">
        <x:v>11001</x:v>
      </x:c>
      <x:c r="H63" s="21">
        <x:v>0.34027777777777779</x:v>
      </x:c>
      <x:c r="I63" s="20">
        <x:v>3</x:v>
      </x:c>
      <x:c r="J63" s="20">
        <x:v>13</x:v>
      </x:c>
      <x:c r="K63" s="10">
        <x:v>0</x:v>
      </x:c>
      <x:c r="L63" s="10">
        <x:v>0</x:v>
      </x:c>
      <x:c r="M63" s="10">
        <x:v>0</x:v>
      </x:c>
      <x:c r="N63" s="10">
        <x:f t="shared" si="5"/>
        <x:v>0</x:v>
      </x:c>
      <x:c r="O63" s="10">
        <x:v>0</x:v>
      </x:c>
      <x:c r="P63" s="10">
        <x:v>0</x:v>
      </x:c>
      <x:c r="Q63" s="20" t="s">
        <x:v>44</x:v>
      </x:c>
      <x:c r="R63"/>
    </x:row>
    <x:row r="64" s="16" customFormat="1">
      <x:c r="A64"/>
      <x:c r="B64" s="20"/>
      <x:c r="C64" s="18" t="s">
        <x:v>39</x:v>
      </x:c>
      <x:c r="D64" s="19" t="str">
        <x:f t="shared" si="4"/>
        <x:v>SD 3.0 x5N(C) </x:v>
      </x:c>
      <x:c r="E64" s="20" t="s">
        <x:v>40</x:v>
      </x:c>
      <x:c r="F64" s="18">
        <x:v>60625</x:v>
      </x:c>
      <x:c r="G64" s="18">
        <x:v>11001</x:v>
      </x:c>
      <x:c r="H64" s="21">
        <x:v>0.34027777777777779</x:v>
      </x:c>
      <x:c r="I64" s="20">
        <x:v>6</x:v>
      </x:c>
      <x:c r="J64" s="20">
        <x:v>14</x:v>
      </x:c>
      <x:c r="K64" s="10">
        <x:v>0</x:v>
      </x:c>
      <x:c r="L64" s="10">
        <x:v>0</x:v>
      </x:c>
      <x:c r="M64" s="10">
        <x:v>0</x:v>
      </x:c>
      <x:c r="N64" s="10">
        <x:f t="shared" si="5"/>
        <x:v>0</x:v>
      </x:c>
      <x:c r="O64" s="10">
        <x:v>0</x:v>
      </x:c>
      <x:c r="P64" s="10">
        <x:v>0</x:v>
      </x:c>
      <x:c r="Q64" s="20" t="s">
        <x:v>44</x:v>
      </x:c>
      <x:c r="R64"/>
    </x:row>
    <x:row r="65" s="16" customFormat="1">
      <x:c r="A65"/>
      <x:c r="B65" s="20"/>
      <x:c r="C65" s="18" t="s">
        <x:v>39</x:v>
      </x:c>
      <x:c r="D65" s="19" t="str">
        <x:f t="shared" si="4"/>
        <x:v>SD 3.0 x5N(C) </x:v>
      </x:c>
      <x:c r="E65" s="20" t="s">
        <x:v>40</x:v>
      </x:c>
      <x:c r="F65" s="18">
        <x:v>60625</x:v>
      </x:c>
      <x:c r="G65" s="18">
        <x:v>11001</x:v>
      </x:c>
      <x:c r="H65" s="21">
        <x:v>0.34027777777777779</x:v>
      </x:c>
      <x:c r="I65" s="20">
        <x:v>6</x:v>
      </x:c>
      <x:c r="J65" s="20">
        <x:v>15</x:v>
      </x:c>
      <x:c r="K65" s="10">
        <x:v>0</x:v>
      </x:c>
      <x:c r="L65" s="10">
        <x:v>0</x:v>
      </x:c>
      <x:c r="M65" s="10">
        <x:v>0</x:v>
      </x:c>
      <x:c r="N65" s="10">
        <x:f t="shared" si="5"/>
        <x:v>0</x:v>
      </x:c>
      <x:c r="O65" s="10">
        <x:v>0</x:v>
      </x:c>
      <x:c r="P65" s="10">
        <x:v>0</x:v>
      </x:c>
      <x:c r="Q65" s="20" t="s">
        <x:v>44</x:v>
      </x:c>
      <x:c r="R65"/>
    </x:row>
    <x:row r="66" s="16" customFormat="1">
      <x:c r="A66"/>
      <x:c r="F66" s="22"/>
      <x:c r="H66" s="23"/>
      <x:c r="I66" s="23"/>
      <x:c r="J66" s="23"/>
      <x:c r="K66" s="24"/>
      <x:c r="L66" s="24"/>
      <x:c r="M66" s="24"/>
      <x:c r="N66" s="24"/>
      <x:c r="O66" s="24"/>
      <x:c r="P66" s="24"/>
      <x:c r="R66"/>
    </x:row>
    <x:row r="67" s="16" customFormat="1">
      <x:c r="A67"/>
      <x:c r="F67" s="22"/>
      <x:c r="H67" s="23"/>
      <x:c r="I67" s="23"/>
      <x:c r="J67" s="23"/>
      <x:c r="K67" s="24"/>
      <x:c r="L67" s="24"/>
      <x:c r="M67" s="24"/>
      <x:c r="N67" s="24"/>
      <x:c r="O67" s="24"/>
      <x:c r="P67" s="24"/>
      <x:c r="R67"/>
    </x:row>
    <x:row r="68" s="16" customFormat="1">
      <x:c r="A68"/>
      <x:c r="F68" s="22"/>
      <x:c r="H68" s="23"/>
      <x:c r="I68" s="23"/>
      <x:c r="J68" s="23"/>
      <x:c r="K68" s="24"/>
      <x:c r="L68" s="24"/>
      <x:c r="M68" s="24"/>
      <x:c r="N68" s="24"/>
      <x:c r="O68" s="24"/>
      <x:c r="P68" s="24"/>
      <x:c r="R68"/>
    </x:row>
    <x:row r="69" s="16" customFormat="1" ht="14.550000190734863" customHeight="1">
      <x:c r="A69"/>
      <x:c r="B69" s="57" t="s">
        <x:v>20</x:v>
      </x:c>
      <x:c r="C69" s="57" t="s">
        <x:v>21</x:v>
      </x:c>
      <x:c r="D69" s="56" t="s">
        <x:v>22</x:v>
      </x:c>
      <x:c r="E69" s="9" t="s">
        <x:v>23</x:v>
      </x:c>
      <x:c r="F69" s="14" t="s">
        <x:v>24</x:v>
      </x:c>
      <x:c r="G69" s="9" t="s">
        <x:v>24</x:v>
      </x:c>
      <x:c r="H69" s="58" t="s">
        <x:v>25</x:v>
      </x:c>
      <x:c r="I69" s="15"/>
      <x:c r="J69" s="15"/>
      <x:c r="K69" s="59" t="s">
        <x:v>26</x:v>
      </x:c>
      <x:c r="L69" s="59"/>
      <x:c r="M69" s="59"/>
      <x:c r="N69" s="59"/>
      <x:c r="O69" s="59"/>
      <x:c r="P69" s="59"/>
      <x:c r="Q69" s="56" t="s">
        <x:v>27</x:v>
      </x:c>
      <x:c r="R69"/>
    </x:row>
    <x:row r="70" s="16" customFormat="1" ht="28.799999237060547">
      <x:c r="A70"/>
      <x:c r="B70" s="56"/>
      <x:c r="C70" s="56"/>
      <x:c r="D70" s="56"/>
      <x:c r="E70" s="7" t="s">
        <x:v>28</x:v>
      </x:c>
      <x:c r="F70" s="8" t="s">
        <x:v>29</x:v>
      </x:c>
      <x:c r="G70" s="8" t="s">
        <x:v>30</x:v>
      </x:c>
      <x:c r="H70" s="58"/>
      <x:c r="I70" s="15" t="s">
        <x:v>31</x:v>
      </x:c>
      <x:c r="J70" s="15" t="s">
        <x:v>32</x:v>
      </x:c>
      <x:c r="K70" s="17" t="s">
        <x:v>33</x:v>
      </x:c>
      <x:c r="L70" s="17" t="s">
        <x:v>34</x:v>
      </x:c>
      <x:c r="M70" s="17" t="s">
        <x:v>35</x:v>
      </x:c>
      <x:c r="N70" s="17" t="s">
        <x:v>36</x:v>
      </x:c>
      <x:c r="O70" s="17" t="s">
        <x:v>10</x:v>
      </x:c>
      <x:c r="P70" s="17" t="s">
        <x:v>37</x:v>
      </x:c>
      <x:c r="Q70" s="56"/>
      <x:c r="R70"/>
    </x:row>
    <x:row r="71" s="16" customFormat="1">
      <x:c r="A71"/>
      <x:c r="B71" s="18" t="s">
        <x:v>38</x:v>
      </x:c>
      <x:c r="C71" s="18" t="s">
        <x:v>39</x:v>
      </x:c>
      <x:c r="D71" s="19" t="str">
        <x:f>$B$1</x:f>
        <x:v>SD 3.0 x5N(C) </x:v>
      </x:c>
      <x:c r="E71" s="20" t="s">
        <x:v>40</x:v>
      </x:c>
      <x:c r="F71" s="18">
        <x:v>60625</x:v>
      </x:c>
      <x:c r="G71" s="18">
        <x:v>11001</x:v>
      </x:c>
      <x:c r="H71" s="21">
        <x:v>0.34027777777777779</x:v>
      </x:c>
      <x:c r="I71" s="20">
        <x:v>3</x:v>
      </x:c>
      <x:c r="J71" s="20">
        <x:v>1</x:v>
      </x:c>
      <x:c r="K71" s="10">
        <x:v>0</x:v>
      </x:c>
      <x:c r="L71" s="10">
        <x:v>0</x:v>
      </x:c>
      <x:c r="M71" s="10">
        <x:v>0</x:v>
      </x:c>
      <x:c r="N71" s="10" t="n">
        <x:f>L71+M71</x:f>
        <x:v>0</x:v>
      </x:c>
      <x:c r="O71" s="10">
        <x:v>0</x:v>
      </x:c>
      <x:c r="P71" s="10">
        <x:v>0</x:v>
      </x:c>
      <x:c r="Q71" s="20" t="s">
        <x:v>45</x:v>
      </x:c>
      <x:c r="R71"/>
    </x:row>
    <x:row r="72" s="16" customFormat="1">
      <x:c r="A72"/>
      <x:c r="B72" s="18"/>
      <x:c r="C72" s="18" t="s">
        <x:v>39</x:v>
      </x:c>
      <x:c r="D72" s="19" t="str">
        <x:f>$B$1</x:f>
        <x:v>SD 3.0 x5N(C) </x:v>
      </x:c>
      <x:c r="E72" s="20" t="s">
        <x:v>40</x:v>
      </x:c>
      <x:c r="F72" s="18">
        <x:v>60625</x:v>
      </x:c>
      <x:c r="G72" s="18">
        <x:v>11001</x:v>
      </x:c>
      <x:c r="H72" s="21">
        <x:v>0.34027777777777779</x:v>
      </x:c>
      <x:c r="I72" s="20">
        <x:v>6</x:v>
      </x:c>
      <x:c r="J72" s="20">
        <x:v>2</x:v>
      </x:c>
      <x:c r="K72" s="10">
        <x:v>0</x:v>
      </x:c>
      <x:c r="L72" s="10">
        <x:v>0</x:v>
      </x:c>
      <x:c r="M72" s="10">
        <x:v>0</x:v>
      </x:c>
      <x:c r="N72" s="10" t="n">
        <x:f>L72+M72</x:f>
        <x:v>0</x:v>
      </x:c>
      <x:c r="O72" s="10">
        <x:v>0</x:v>
      </x:c>
      <x:c r="P72" s="10">
        <x:v>0</x:v>
      </x:c>
      <x:c r="Q72" s="20" t="s">
        <x:v>45</x:v>
      </x:c>
      <x:c r="R72"/>
    </x:row>
    <x:row r="73" s="16" customFormat="1">
      <x:c r="A73"/>
      <x:c r="B73" s="18"/>
      <x:c r="C73" s="18" t="s">
        <x:v>39</x:v>
      </x:c>
      <x:c r="D73" s="19" t="str">
        <x:f t="shared" ref="D73:D85" si="6">$B$1</x:f>
        <x:v>SD 3.0 x5N(C) </x:v>
      </x:c>
      <x:c r="E73" s="20" t="s">
        <x:v>40</x:v>
      </x:c>
      <x:c r="F73" s="18">
        <x:v>60625</x:v>
      </x:c>
      <x:c r="G73" s="18">
        <x:v>11001</x:v>
      </x:c>
      <x:c r="H73" s="21">
        <x:v>0.34027777777777779</x:v>
      </x:c>
      <x:c r="I73" s="20">
        <x:v>3</x:v>
      </x:c>
      <x:c r="J73" s="20">
        <x:v>3</x:v>
      </x:c>
      <x:c r="K73" s="10">
        <x:v>0</x:v>
      </x:c>
      <x:c r="L73" s="10">
        <x:v>0</x:v>
      </x:c>
      <x:c r="M73" s="10">
        <x:v>0</x:v>
      </x:c>
      <x:c r="N73" s="10" t="n">
        <x:f t="shared" ref="N73:N85" si="7">L73+M73</x:f>
        <x:v>0</x:v>
      </x:c>
      <x:c r="O73" s="10">
        <x:v>0</x:v>
      </x:c>
      <x:c r="P73" s="10">
        <x:v>0</x:v>
      </x:c>
      <x:c r="Q73" s="20" t="s">
        <x:v>45</x:v>
      </x:c>
      <x:c r="R73"/>
    </x:row>
    <x:row r="74" s="16" customFormat="1">
      <x:c r="A74"/>
      <x:c r="B74" s="20"/>
      <x:c r="C74" s="18" t="s">
        <x:v>39</x:v>
      </x:c>
      <x:c r="D74" s="19" t="str">
        <x:f t="shared" si="6"/>
        <x:v>SD 3.0 x5N(C) </x:v>
      </x:c>
      <x:c r="E74" s="20" t="s">
        <x:v>40</x:v>
      </x:c>
      <x:c r="F74" s="18">
        <x:v>60625</x:v>
      </x:c>
      <x:c r="G74" s="18">
        <x:v>11001</x:v>
      </x:c>
      <x:c r="H74" s="21">
        <x:v>0.34027777777777779</x:v>
      </x:c>
      <x:c r="I74" s="20">
        <x:v>6</x:v>
      </x:c>
      <x:c r="J74" s="20">
        <x:v>4</x:v>
      </x:c>
      <x:c r="K74" s="10">
        <x:v>0</x:v>
      </x:c>
      <x:c r="L74" s="10">
        <x:v>0</x:v>
      </x:c>
      <x:c r="M74" s="10">
        <x:v>0</x:v>
      </x:c>
      <x:c r="N74" s="10">
        <x:f t="shared" si="7"/>
        <x:v>0</x:v>
      </x:c>
      <x:c r="O74" s="10">
        <x:v>0</x:v>
      </x:c>
      <x:c r="P74" s="10">
        <x:v>0</x:v>
      </x:c>
      <x:c r="Q74" s="20" t="s">
        <x:v>45</x:v>
      </x:c>
      <x:c r="R74"/>
    </x:row>
    <x:row r="75" s="16" customFormat="1">
      <x:c r="A75"/>
      <x:c r="B75" s="20"/>
      <x:c r="C75" s="18" t="s">
        <x:v>39</x:v>
      </x:c>
      <x:c r="D75" s="19" t="str">
        <x:f t="shared" si="6"/>
        <x:v>SD 3.0 x5N(C) </x:v>
      </x:c>
      <x:c r="E75" s="20" t="s">
        <x:v>40</x:v>
      </x:c>
      <x:c r="F75" s="18">
        <x:v>60625</x:v>
      </x:c>
      <x:c r="G75" s="18">
        <x:v>11001</x:v>
      </x:c>
      <x:c r="H75" s="21">
        <x:v>0.34027777777777779</x:v>
      </x:c>
      <x:c r="I75" s="20">
        <x:v>3</x:v>
      </x:c>
      <x:c r="J75" s="20">
        <x:v>5</x:v>
      </x:c>
      <x:c r="K75" s="10">
        <x:v>0</x:v>
      </x:c>
      <x:c r="L75" s="10">
        <x:v>0</x:v>
      </x:c>
      <x:c r="M75" s="10">
        <x:v>0</x:v>
      </x:c>
      <x:c r="N75" s="10">
        <x:f t="shared" si="7"/>
        <x:v>0</x:v>
      </x:c>
      <x:c r="O75" s="10">
        <x:v>0</x:v>
      </x:c>
      <x:c r="P75" s="10">
        <x:v>0</x:v>
      </x:c>
      <x:c r="Q75" s="20" t="s">
        <x:v>45</x:v>
      </x:c>
      <x:c r="R75"/>
    </x:row>
    <x:row r="76" s="16" customFormat="1">
      <x:c r="A76"/>
      <x:c r="B76" s="20"/>
      <x:c r="C76" s="18" t="s">
        <x:v>39</x:v>
      </x:c>
      <x:c r="D76" s="19" t="str">
        <x:f t="shared" si="6"/>
        <x:v>SD 3.0 x5N(C) </x:v>
      </x:c>
      <x:c r="E76" s="20" t="s">
        <x:v>40</x:v>
      </x:c>
      <x:c r="F76" s="18">
        <x:v>60625</x:v>
      </x:c>
      <x:c r="G76" s="18">
        <x:v>11001</x:v>
      </x:c>
      <x:c r="H76" s="21">
        <x:v>0.34027777777777779</x:v>
      </x:c>
      <x:c r="I76" s="20">
        <x:v>6</x:v>
      </x:c>
      <x:c r="J76" s="20">
        <x:v>6</x:v>
      </x:c>
      <x:c r="K76" s="10">
        <x:v>0</x:v>
      </x:c>
      <x:c r="L76" s="10">
        <x:v>0</x:v>
      </x:c>
      <x:c r="M76" s="10">
        <x:v>0</x:v>
      </x:c>
      <x:c r="N76" s="10">
        <x:f t="shared" si="7"/>
        <x:v>0</x:v>
      </x:c>
      <x:c r="O76" s="10">
        <x:v>0</x:v>
      </x:c>
      <x:c r="P76" s="10">
        <x:v>0</x:v>
      </x:c>
      <x:c r="Q76" s="20" t="s">
        <x:v>45</x:v>
      </x:c>
      <x:c r="R76"/>
    </x:row>
    <x:row r="77" s="16" customFormat="1">
      <x:c r="A77"/>
      <x:c r="B77" s="18"/>
      <x:c r="C77" s="18" t="s">
        <x:v>39</x:v>
      </x:c>
      <x:c r="D77" s="19" t="str">
        <x:f t="shared" si="6"/>
        <x:v>SD 3.0 x5N(C) </x:v>
      </x:c>
      <x:c r="E77" s="20" t="s">
        <x:v>40</x:v>
      </x:c>
      <x:c r="F77" s="18">
        <x:v>60625</x:v>
      </x:c>
      <x:c r="G77" s="18">
        <x:v>11001</x:v>
      </x:c>
      <x:c r="H77" s="21">
        <x:v>0.34027777777777779</x:v>
      </x:c>
      <x:c r="I77" s="20">
        <x:v>3</x:v>
      </x:c>
      <x:c r="J77" s="20">
        <x:v>7</x:v>
      </x:c>
      <x:c r="K77" s="10">
        <x:v>0</x:v>
      </x:c>
      <x:c r="L77" s="10">
        <x:v>0</x:v>
      </x:c>
      <x:c r="M77" s="10">
        <x:v>0</x:v>
      </x:c>
      <x:c r="N77" s="10">
        <x:f t="shared" si="7"/>
        <x:v>0</x:v>
      </x:c>
      <x:c r="O77" s="10">
        <x:v>0</x:v>
      </x:c>
      <x:c r="P77" s="10">
        <x:v>0</x:v>
      </x:c>
      <x:c r="Q77" s="20" t="s">
        <x:v>45</x:v>
      </x:c>
      <x:c r="R77"/>
    </x:row>
    <x:row r="78" s="16" customFormat="1">
      <x:c r="A78"/>
      <x:c r="B78" s="18"/>
      <x:c r="C78" s="18" t="s">
        <x:v>39</x:v>
      </x:c>
      <x:c r="D78" s="19" t="str">
        <x:f t="shared" si="6"/>
        <x:v>SD 3.0 x5N(C) </x:v>
      </x:c>
      <x:c r="E78" s="20" t="s">
        <x:v>40</x:v>
      </x:c>
      <x:c r="F78" s="18">
        <x:v>60625</x:v>
      </x:c>
      <x:c r="G78" s="18">
        <x:v>11001</x:v>
      </x:c>
      <x:c r="H78" s="21">
        <x:v>0.34027777777777779</x:v>
      </x:c>
      <x:c r="I78" s="20">
        <x:v>6</x:v>
      </x:c>
      <x:c r="J78" s="20">
        <x:v>8</x:v>
      </x:c>
      <x:c r="K78" s="10">
        <x:v>0</x:v>
      </x:c>
      <x:c r="L78" s="10">
        <x:v>0</x:v>
      </x:c>
      <x:c r="M78" s="10">
        <x:v>0</x:v>
      </x:c>
      <x:c r="N78" s="10">
        <x:f t="shared" si="7"/>
        <x:v>0</x:v>
      </x:c>
      <x:c r="O78" s="10">
        <x:v>0</x:v>
      </x:c>
      <x:c r="P78" s="10">
        <x:v>0</x:v>
      </x:c>
      <x:c r="Q78" s="20" t="s">
        <x:v>45</x:v>
      </x:c>
      <x:c r="R78"/>
    </x:row>
    <x:row r="79" s="16" customFormat="1">
      <x:c r="A79"/>
      <x:c r="B79" s="18"/>
      <x:c r="C79" s="18" t="s">
        <x:v>39</x:v>
      </x:c>
      <x:c r="D79" s="19" t="str">
        <x:f t="shared" si="6"/>
        <x:v>SD 3.0 x5N(C) </x:v>
      </x:c>
      <x:c r="E79" s="20" t="s">
        <x:v>40</x:v>
      </x:c>
      <x:c r="F79" s="18">
        <x:v>60625</x:v>
      </x:c>
      <x:c r="G79" s="18">
        <x:v>11001</x:v>
      </x:c>
      <x:c r="H79" s="21">
        <x:v>0.34027777777777779</x:v>
      </x:c>
      <x:c r="I79" s="20">
        <x:v>3</x:v>
      </x:c>
      <x:c r="J79" s="20">
        <x:v>9</x:v>
      </x:c>
      <x:c r="K79" s="10">
        <x:v>0</x:v>
      </x:c>
      <x:c r="L79" s="10">
        <x:v>0</x:v>
      </x:c>
      <x:c r="M79" s="10">
        <x:v>0</x:v>
      </x:c>
      <x:c r="N79" s="10">
        <x:f t="shared" si="7"/>
        <x:v>0</x:v>
      </x:c>
      <x:c r="O79" s="10">
        <x:v>0</x:v>
      </x:c>
      <x:c r="P79" s="10">
        <x:v>0</x:v>
      </x:c>
      <x:c r="Q79" s="20" t="s">
        <x:v>45</x:v>
      </x:c>
      <x:c r="R79"/>
    </x:row>
    <x:row r="80" s="16" customFormat="1">
      <x:c r="A80"/>
      <x:c r="B80" s="20"/>
      <x:c r="C80" s="18" t="s">
        <x:v>39</x:v>
      </x:c>
      <x:c r="D80" s="19" t="str">
        <x:f t="shared" si="6"/>
        <x:v>SD 3.0 x5N(C) </x:v>
      </x:c>
      <x:c r="E80" s="20" t="s">
        <x:v>40</x:v>
      </x:c>
      <x:c r="F80" s="18">
        <x:v>60625</x:v>
      </x:c>
      <x:c r="G80" s="18">
        <x:v>11001</x:v>
      </x:c>
      <x:c r="H80" s="21">
        <x:v>0.34027777777777779</x:v>
      </x:c>
      <x:c r="I80" s="20">
        <x:v>6</x:v>
      </x:c>
      <x:c r="J80" s="20">
        <x:v>10</x:v>
      </x:c>
      <x:c r="K80" s="10">
        <x:v>0</x:v>
      </x:c>
      <x:c r="L80" s="10">
        <x:v>0</x:v>
      </x:c>
      <x:c r="M80" s="10">
        <x:v>0</x:v>
      </x:c>
      <x:c r="N80" s="10">
        <x:f t="shared" si="7"/>
        <x:v>0</x:v>
      </x:c>
      <x:c r="O80" s="10">
        <x:v>0</x:v>
      </x:c>
      <x:c r="P80" s="10">
        <x:v>0</x:v>
      </x:c>
      <x:c r="Q80" s="20" t="s">
        <x:v>45</x:v>
      </x:c>
      <x:c r="R80"/>
    </x:row>
    <x:row r="81" s="16" customFormat="1">
      <x:c r="A81"/>
      <x:c r="B81" s="20"/>
      <x:c r="C81" s="18" t="s">
        <x:v>39</x:v>
      </x:c>
      <x:c r="D81" s="19" t="str">
        <x:f t="shared" si="6"/>
        <x:v>SD 3.0 x5N(C) </x:v>
      </x:c>
      <x:c r="E81" s="20" t="s">
        <x:v>40</x:v>
      </x:c>
      <x:c r="F81" s="18">
        <x:v>60625</x:v>
      </x:c>
      <x:c r="G81" s="18">
        <x:v>11001</x:v>
      </x:c>
      <x:c r="H81" s="21">
        <x:v>0.34027777777777779</x:v>
      </x:c>
      <x:c r="I81" s="20">
        <x:v>3</x:v>
      </x:c>
      <x:c r="J81" s="20">
        <x:v>11</x:v>
      </x:c>
      <x:c r="K81" s="10">
        <x:v>0</x:v>
      </x:c>
      <x:c r="L81" s="10">
        <x:v>0</x:v>
      </x:c>
      <x:c r="M81" s="10">
        <x:v>0</x:v>
      </x:c>
      <x:c r="N81" s="10">
        <x:f t="shared" si="7"/>
        <x:v>0</x:v>
      </x:c>
      <x:c r="O81" s="10">
        <x:v>0</x:v>
      </x:c>
      <x:c r="P81" s="10">
        <x:v>0</x:v>
      </x:c>
      <x:c r="Q81" s="20" t="s">
        <x:v>45</x:v>
      </x:c>
      <x:c r="R81"/>
    </x:row>
    <x:row r="82" s="16" customFormat="1">
      <x:c r="A82"/>
      <x:c r="B82" s="20"/>
      <x:c r="C82" s="18" t="s">
        <x:v>39</x:v>
      </x:c>
      <x:c r="D82" s="19" t="str">
        <x:f t="shared" si="6"/>
        <x:v>SD 3.0 x5N(C) </x:v>
      </x:c>
      <x:c r="E82" s="20" t="s">
        <x:v>40</x:v>
      </x:c>
      <x:c r="F82" s="18">
        <x:v>60625</x:v>
      </x:c>
      <x:c r="G82" s="18">
        <x:v>11001</x:v>
      </x:c>
      <x:c r="H82" s="21">
        <x:v>0.34027777777777779</x:v>
      </x:c>
      <x:c r="I82" s="20">
        <x:v>6</x:v>
      </x:c>
      <x:c r="J82" s="20">
        <x:v>12</x:v>
      </x:c>
      <x:c r="K82" s="10">
        <x:v>0</x:v>
      </x:c>
      <x:c r="L82" s="10">
        <x:v>0</x:v>
      </x:c>
      <x:c r="M82" s="10">
        <x:v>0</x:v>
      </x:c>
      <x:c r="N82" s="10">
        <x:f t="shared" si="7"/>
        <x:v>0</x:v>
      </x:c>
      <x:c r="O82" s="10">
        <x:v>0</x:v>
      </x:c>
      <x:c r="P82" s="10">
        <x:v>0</x:v>
      </x:c>
      <x:c r="Q82" s="20" t="s">
        <x:v>45</x:v>
      </x:c>
      <x:c r="R82"/>
    </x:row>
    <x:row r="83" s="16" customFormat="1">
      <x:c r="A83"/>
      <x:c r="B83" s="20"/>
      <x:c r="C83" s="18" t="s">
        <x:v>39</x:v>
      </x:c>
      <x:c r="D83" s="19" t="str">
        <x:f t="shared" si="6"/>
        <x:v>SD 3.0 x5N(C) </x:v>
      </x:c>
      <x:c r="E83" s="20" t="s">
        <x:v>40</x:v>
      </x:c>
      <x:c r="F83" s="18">
        <x:v>60625</x:v>
      </x:c>
      <x:c r="G83" s="18">
        <x:v>11001</x:v>
      </x:c>
      <x:c r="H83" s="21">
        <x:v>0.34027777777777779</x:v>
      </x:c>
      <x:c r="I83" s="20">
        <x:v>3</x:v>
      </x:c>
      <x:c r="J83" s="20">
        <x:v>13</x:v>
      </x:c>
      <x:c r="K83" s="10">
        <x:v>0</x:v>
      </x:c>
      <x:c r="L83" s="10">
        <x:v>0</x:v>
      </x:c>
      <x:c r="M83" s="10">
        <x:v>0</x:v>
      </x:c>
      <x:c r="N83" s="10">
        <x:f t="shared" si="7"/>
        <x:v>0</x:v>
      </x:c>
      <x:c r="O83" s="10">
        <x:v>0</x:v>
      </x:c>
      <x:c r="P83" s="10">
        <x:v>0</x:v>
      </x:c>
      <x:c r="Q83" s="20" t="s">
        <x:v>45</x:v>
      </x:c>
      <x:c r="R83"/>
    </x:row>
    <x:row r="84" s="16" customFormat="1">
      <x:c r="A84"/>
      <x:c r="B84" s="20"/>
      <x:c r="C84" s="18" t="s">
        <x:v>39</x:v>
      </x:c>
      <x:c r="D84" s="19" t="str">
        <x:f t="shared" si="6"/>
        <x:v>SD 3.0 x5N(C) </x:v>
      </x:c>
      <x:c r="E84" s="20" t="s">
        <x:v>40</x:v>
      </x:c>
      <x:c r="F84" s="18">
        <x:v>60625</x:v>
      </x:c>
      <x:c r="G84" s="18">
        <x:v>11001</x:v>
      </x:c>
      <x:c r="H84" s="21">
        <x:v>0.34027777777777779</x:v>
      </x:c>
      <x:c r="I84" s="20">
        <x:v>6</x:v>
      </x:c>
      <x:c r="J84" s="20">
        <x:v>14</x:v>
      </x:c>
      <x:c r="K84" s="10">
        <x:v>0</x:v>
      </x:c>
      <x:c r="L84" s="10">
        <x:v>0</x:v>
      </x:c>
      <x:c r="M84" s="10">
        <x:v>0</x:v>
      </x:c>
      <x:c r="N84" s="10">
        <x:f t="shared" si="7"/>
        <x:v>0</x:v>
      </x:c>
      <x:c r="O84" s="10">
        <x:v>0</x:v>
      </x:c>
      <x:c r="P84" s="10">
        <x:v>0</x:v>
      </x:c>
      <x:c r="Q84" s="20" t="s">
        <x:v>45</x:v>
      </x:c>
      <x:c r="R84"/>
    </x:row>
    <x:row r="85" s="16" customFormat="1">
      <x:c r="A85"/>
      <x:c r="B85" s="20"/>
      <x:c r="C85" s="18" t="s">
        <x:v>39</x:v>
      </x:c>
      <x:c r="D85" s="19" t="str">
        <x:f t="shared" si="6"/>
        <x:v>SD 3.0 x5N(C) </x:v>
      </x:c>
      <x:c r="E85" s="20" t="s">
        <x:v>40</x:v>
      </x:c>
      <x:c r="F85" s="18">
        <x:v>60625</x:v>
      </x:c>
      <x:c r="G85" s="18">
        <x:v>11001</x:v>
      </x:c>
      <x:c r="H85" s="21">
        <x:v>0.34027777777777779</x:v>
      </x:c>
      <x:c r="I85" s="20">
        <x:v>3</x:v>
      </x:c>
      <x:c r="J85" s="20">
        <x:v>15</x:v>
      </x:c>
      <x:c r="K85" s="10">
        <x:v>0</x:v>
      </x:c>
      <x:c r="L85" s="10">
        <x:v>0</x:v>
      </x:c>
      <x:c r="M85" s="10">
        <x:v>0</x:v>
      </x:c>
      <x:c r="N85" s="10">
        <x:f t="shared" si="7"/>
        <x:v>0</x:v>
      </x:c>
      <x:c r="O85" s="10">
        <x:v>0</x:v>
      </x:c>
      <x:c r="P85" s="10">
        <x:v>0</x:v>
      </x:c>
      <x:c r="Q85" s="20" t="s">
        <x:v>45</x:v>
      </x:c>
      <x:c r="R85"/>
    </x:row>
    <x:row r="86" s="16" customFormat="1">
      <x:c r="A86"/>
      <x:c r="F86" s="22"/>
      <x:c r="H86" s="23"/>
      <x:c r="I86" s="23"/>
      <x:c r="J86" s="23"/>
      <x:c r="K86" s="24"/>
      <x:c r="L86" s="24"/>
      <x:c r="M86" s="24"/>
      <x:c r="N86" s="24"/>
      <x:c r="O86" s="24"/>
      <x:c r="P86" s="24"/>
      <x:c r="R86"/>
    </x:row>
    <x:row r="87" s="16" customFormat="1">
      <x:c r="A87"/>
      <x:c r="F87" s="22"/>
      <x:c r="H87" s="23"/>
      <x:c r="I87" s="23"/>
      <x:c r="J87" s="23"/>
      <x:c r="K87" s="24"/>
      <x:c r="L87" s="24"/>
      <x:c r="M87" s="24"/>
      <x:c r="N87" s="24"/>
      <x:c r="O87" s="24"/>
      <x:c r="P87" s="24"/>
      <x:c r="R87"/>
    </x:row>
    <x:row r="88" s="16" customFormat="1">
      <x:c r="A88"/>
      <x:c r="F88" s="22"/>
      <x:c r="H88" s="23"/>
      <x:c r="I88" s="23"/>
      <x:c r="J88" s="23"/>
      <x:c r="K88" s="24"/>
      <x:c r="L88" s="24"/>
      <x:c r="M88" s="24"/>
      <x:c r="N88" s="24"/>
      <x:c r="O88" s="24"/>
      <x:c r="P88" s="24"/>
      <x:c r="R88"/>
    </x:row>
    <x:row r="89" s="16" customFormat="1">
      <x:c r="A89"/>
      <x:c r="F89" s="22"/>
      <x:c r="H89" s="23"/>
      <x:c r="I89" s="23"/>
      <x:c r="J89" s="23"/>
      <x:c r="K89" s="24"/>
      <x:c r="L89" s="24"/>
      <x:c r="M89" s="24"/>
      <x:c r="N89" s="24"/>
      <x:c r="O89" s="24"/>
      <x:c r="P89" s="24"/>
      <x:c r="R89"/>
    </x:row>
    <x:row r="90" s="16" customFormat="1">
      <x:c r="A90"/>
      <x:c r="F90" s="22"/>
      <x:c r="H90" s="23"/>
      <x:c r="I90" s="23"/>
      <x:c r="J90" s="23"/>
      <x:c r="K90" s="24"/>
      <x:c r="L90" s="24"/>
      <x:c r="M90" s="24"/>
      <x:c r="N90" s="24"/>
      <x:c r="O90" s="24"/>
      <x:c r="P90" s="24"/>
      <x:c r="R90"/>
    </x:row>
    <x:row r="91" s="16" customFormat="1">
      <x:c r="A91"/>
      <x:c r="F91" s="22"/>
      <x:c r="H91" s="23"/>
      <x:c r="I91" s="23"/>
      <x:c r="J91" s="23"/>
      <x:c r="K91" s="24"/>
      <x:c r="L91" s="24"/>
      <x:c r="M91" s="24"/>
      <x:c r="N91" s="24"/>
      <x:c r="O91" s="24"/>
      <x:c r="P91" s="24"/>
      <x:c r="R91"/>
    </x:row>
    <x:row r="92" s="16" customFormat="1">
      <x:c r="A92"/>
      <x:c r="F92" s="22"/>
      <x:c r="H92" s="23"/>
      <x:c r="I92" s="23"/>
      <x:c r="J92" s="23"/>
      <x:c r="K92" s="24"/>
      <x:c r="L92" s="24"/>
      <x:c r="M92" s="24"/>
      <x:c r="N92" s="24"/>
      <x:c r="O92" s="24"/>
      <x:c r="P92" s="24"/>
      <x:c r="R92"/>
    </x:row>
    <x:row r="93" s="16" customFormat="1">
      <x:c r="A93"/>
      <x:c r="F93" s="22"/>
      <x:c r="H93" s="23"/>
      <x:c r="I93" s="23"/>
      <x:c r="J93" s="23"/>
      <x:c r="K93" s="24"/>
      <x:c r="L93" s="24"/>
      <x:c r="M93" s="24"/>
      <x:c r="N93" s="24"/>
      <x:c r="O93" s="24"/>
      <x:c r="P93" s="24"/>
      <x:c r="R93"/>
    </x:row>
    <x:row r="94" s="16" customFormat="1">
      <x:c r="A94"/>
      <x:c r="F94" s="22"/>
      <x:c r="H94" s="23"/>
      <x:c r="I94" s="23"/>
      <x:c r="J94" s="23"/>
      <x:c r="K94" s="24"/>
      <x:c r="L94" s="24"/>
      <x:c r="M94" s="24"/>
      <x:c r="N94" s="24"/>
      <x:c r="O94" s="24"/>
      <x:c r="P94" s="24"/>
      <x:c r="R94"/>
    </x:row>
    <x:row r="95" s="16" customFormat="1">
      <x:c r="A95"/>
      <x:c r="F95" s="22"/>
      <x:c r="H95" s="23"/>
      <x:c r="I95" s="23"/>
      <x:c r="J95" s="23"/>
      <x:c r="K95" s="24"/>
      <x:c r="L95" s="24"/>
      <x:c r="M95" s="24"/>
      <x:c r="N95" s="24"/>
      <x:c r="O95" s="24"/>
      <x:c r="P95" s="24"/>
      <x:c r="R95"/>
    </x:row>
    <x:row r="96" s="16" customFormat="1">
      <x:c r="A96"/>
      <x:c r="F96" s="22"/>
      <x:c r="H96" s="23"/>
      <x:c r="I96" s="23"/>
      <x:c r="J96" s="23"/>
      <x:c r="K96" s="24"/>
      <x:c r="L96" s="24"/>
      <x:c r="M96" s="24"/>
      <x:c r="N96" s="24"/>
      <x:c r="O96" s="24"/>
      <x:c r="P96" s="24"/>
      <x:c r="R96"/>
    </x:row>
    <x:row r="97" s="16" customFormat="1">
      <x:c r="A97"/>
      <x:c r="F97" s="22"/>
      <x:c r="H97" s="23"/>
      <x:c r="I97" s="23"/>
      <x:c r="J97" s="23"/>
      <x:c r="K97" s="24"/>
      <x:c r="L97" s="24"/>
      <x:c r="M97" s="24"/>
      <x:c r="N97" s="24"/>
      <x:c r="O97" s="24"/>
      <x:c r="P97" s="24"/>
      <x:c r="R97"/>
    </x:row>
    <x:row r="98" s="16" customFormat="1">
      <x:c r="A98"/>
      <x:c r="F98" s="22"/>
      <x:c r="H98" s="23"/>
      <x:c r="I98" s="23"/>
      <x:c r="J98" s="23"/>
      <x:c r="K98" s="24"/>
      <x:c r="L98" s="24"/>
      <x:c r="M98" s="24"/>
      <x:c r="N98" s="24"/>
      <x:c r="O98" s="24"/>
      <x:c r="P98" s="24"/>
      <x:c r="R98"/>
    </x:row>
    <x:row r="99" s="16" customFormat="1">
      <x:c r="A99"/>
      <x:c r="F99" s="22"/>
      <x:c r="H99" s="23"/>
      <x:c r="I99" s="23"/>
      <x:c r="J99" s="23"/>
      <x:c r="K99" s="24"/>
      <x:c r="L99" s="24"/>
      <x:c r="M99" s="24"/>
      <x:c r="N99" s="24"/>
      <x:c r="O99" s="24"/>
      <x:c r="P99" s="24"/>
      <x:c r="R99"/>
    </x:row>
    <x:row r="100" s="16" customFormat="1">
      <x:c r="A100"/>
      <x:c r="F100" s="22"/>
      <x:c r="H100" s="23"/>
      <x:c r="I100" s="23"/>
      <x:c r="J100" s="23"/>
      <x:c r="K100" s="24"/>
      <x:c r="L100" s="24"/>
      <x:c r="M100" s="24"/>
      <x:c r="N100" s="24"/>
      <x:c r="O100" s="24"/>
      <x:c r="P100" s="24"/>
      <x:c r="R100"/>
    </x:row>
    <x:row r="101" s="16" customFormat="1">
      <x:c r="A101"/>
      <x:c r="F101" s="22"/>
      <x:c r="H101" s="23"/>
      <x:c r="I101" s="23"/>
      <x:c r="J101" s="23"/>
      <x:c r="K101" s="24"/>
      <x:c r="L101" s="24"/>
      <x:c r="M101" s="24"/>
      <x:c r="N101" s="24"/>
      <x:c r="O101" s="24"/>
      <x:c r="P101" s="24"/>
      <x:c r="R101"/>
    </x:row>
    <x:row r="102" s="16" customFormat="1">
      <x:c r="A102"/>
      <x:c r="F102" s="22"/>
      <x:c r="H102" s="23"/>
      <x:c r="I102" s="23"/>
      <x:c r="J102" s="23"/>
      <x:c r="K102" s="24"/>
      <x:c r="L102" s="24"/>
      <x:c r="M102" s="24"/>
      <x:c r="N102" s="24"/>
      <x:c r="O102" s="24"/>
      <x:c r="P102" s="24"/>
      <x:c r="R102"/>
    </x:row>
    <x:row r="103" s="16" customFormat="1">
      <x:c r="A103"/>
      <x:c r="F103" s="22"/>
      <x:c r="H103" s="23"/>
      <x:c r="I103" s="23"/>
      <x:c r="J103" s="23"/>
      <x:c r="K103" s="24"/>
      <x:c r="L103" s="24"/>
      <x:c r="M103" s="24"/>
      <x:c r="N103" s="24"/>
      <x:c r="O103" s="24"/>
      <x:c r="P103" s="24"/>
      <x:c r="R103"/>
    </x:row>
    <x:row r="104" s="16" customFormat="1">
      <x:c r="A104"/>
      <x:c r="F104" s="22"/>
      <x:c r="H104" s="23"/>
      <x:c r="I104" s="23"/>
      <x:c r="J104" s="23"/>
      <x:c r="K104" s="24"/>
      <x:c r="L104" s="24"/>
      <x:c r="M104" s="24"/>
      <x:c r="N104" s="24"/>
      <x:c r="O104" s="24"/>
      <x:c r="P104" s="24"/>
      <x:c r="R104"/>
    </x:row>
    <x:row r="105" s="16" customFormat="1">
      <x:c r="A105"/>
      <x:c r="F105" s="22"/>
      <x:c r="H105" s="23"/>
      <x:c r="I105" s="23"/>
      <x:c r="J105" s="23"/>
      <x:c r="K105" s="24"/>
      <x:c r="L105" s="24"/>
      <x:c r="M105" s="24"/>
      <x:c r="N105" s="24"/>
      <x:c r="O105" s="24"/>
      <x:c r="P105" s="24"/>
      <x:c r="R105"/>
    </x:row>
    <x:row r="106" s="16" customFormat="1">
      <x:c r="A106"/>
      <x:c r="F106" s="22"/>
      <x:c r="H106" s="23"/>
      <x:c r="I106" s="23"/>
      <x:c r="J106" s="23"/>
      <x:c r="K106" s="24"/>
      <x:c r="L106" s="24"/>
      <x:c r="M106" s="24"/>
      <x:c r="N106" s="24"/>
      <x:c r="O106" s="24"/>
      <x:c r="P106" s="24"/>
      <x:c r="R106"/>
    </x:row>
    <x:row r="107" s="16" customFormat="1">
      <x:c r="A107"/>
      <x:c r="F107" s="22"/>
      <x:c r="H107" s="23"/>
      <x:c r="I107" s="23"/>
      <x:c r="J107" s="23"/>
      <x:c r="K107" s="24"/>
      <x:c r="L107" s="24"/>
      <x:c r="M107" s="24"/>
      <x:c r="N107" s="24"/>
      <x:c r="O107" s="24"/>
      <x:c r="P107" s="24"/>
      <x:c r="R107"/>
    </x:row>
    <x:row r="108" s="16" customFormat="1">
      <x:c r="A108"/>
      <x:c r="F108" s="22"/>
      <x:c r="H108" s="23"/>
      <x:c r="I108" s="23"/>
      <x:c r="J108" s="23"/>
      <x:c r="K108" s="24"/>
      <x:c r="L108" s="24"/>
      <x:c r="M108" s="24"/>
      <x:c r="N108" s="24"/>
      <x:c r="O108" s="24"/>
      <x:c r="P108" s="24"/>
      <x:c r="R108"/>
    </x:row>
    <x:row r="109" s="16" customFormat="1">
      <x:c r="A109"/>
      <x:c r="F109" s="22"/>
      <x:c r="H109" s="23"/>
      <x:c r="I109" s="23"/>
      <x:c r="J109" s="23"/>
      <x:c r="K109" s="24"/>
      <x:c r="L109" s="24"/>
      <x:c r="M109" s="24"/>
      <x:c r="N109" s="24"/>
      <x:c r="O109" s="24"/>
      <x:c r="P109" s="24"/>
      <x:c r="R109"/>
    </x:row>
    <x:row r="110" s="16" customFormat="1">
      <x:c r="A110"/>
      <x:c r="F110" s="22"/>
      <x:c r="H110" s="23"/>
      <x:c r="I110" s="23"/>
      <x:c r="J110" s="23"/>
      <x:c r="K110" s="24"/>
      <x:c r="L110" s="24"/>
      <x:c r="M110" s="24"/>
      <x:c r="N110" s="24"/>
      <x:c r="O110" s="24"/>
      <x:c r="P110" s="24"/>
      <x:c r="R110"/>
    </x:row>
    <x:row r="111" s="16" customFormat="1">
      <x:c r="A111"/>
      <x:c r="F111" s="22"/>
      <x:c r="H111" s="23"/>
      <x:c r="I111" s="23"/>
      <x:c r="J111" s="23"/>
      <x:c r="K111" s="24"/>
      <x:c r="L111" s="24"/>
      <x:c r="M111" s="24"/>
      <x:c r="N111" s="24"/>
      <x:c r="O111" s="24"/>
      <x:c r="P111" s="24"/>
      <x:c r="R111"/>
    </x:row>
    <x:row r="112" s="16" customFormat="1">
      <x:c r="A112"/>
      <x:c r="F112" s="22"/>
      <x:c r="H112" s="23"/>
      <x:c r="I112" s="23"/>
      <x:c r="J112" s="23"/>
      <x:c r="K112" s="24"/>
      <x:c r="L112" s="24"/>
      <x:c r="M112" s="24"/>
      <x:c r="N112" s="24"/>
      <x:c r="O112" s="24"/>
      <x:c r="P112" s="24"/>
      <x:c r="R112"/>
    </x:row>
  </x:sheetData>
  <x:mergeCells>
    <x:mergeCell ref="H49:H50"/>
    <x:mergeCell ref="K49:P49"/>
    <x:mergeCell ref="Q69:Q70"/>
    <x:mergeCell ref="B69:B70"/>
    <x:mergeCell ref="C69:C70"/>
    <x:mergeCell ref="D69:D70"/>
    <x:mergeCell ref="H69:H70"/>
    <x:mergeCell ref="K69:P69"/>
    <x:mergeCell ref="L2:L3"/>
    <x:mergeCell ref="M2:M3"/>
    <x:mergeCell ref="F2:F3"/>
    <x:mergeCell ref="B1:D1"/>
    <x:mergeCell ref="B2:B3"/>
    <x:mergeCell ref="C2:C3"/>
    <x:mergeCell ref="D2:D3"/>
    <x:mergeCell ref="E2:E3"/>
    <x:mergeCell ref="G2:G3"/>
    <x:mergeCell ref="H2:H3"/>
    <x:mergeCell ref="K2:K3"/>
    <x:mergeCell ref="Q49:Q50"/>
    <x:mergeCell ref="Q9:Q10"/>
    <x:mergeCell ref="B29:B30"/>
    <x:mergeCell ref="C29:C30"/>
    <x:mergeCell ref="D29:D30"/>
    <x:mergeCell ref="H29:H30"/>
    <x:mergeCell ref="K29:P29"/>
    <x:mergeCell ref="Q29:Q30"/>
    <x:mergeCell ref="B9:B10"/>
    <x:mergeCell ref="C9:C10"/>
    <x:mergeCell ref="D9:D10"/>
    <x:mergeCell ref="H9:H10"/>
    <x:mergeCell ref="K9:P9"/>
    <x:mergeCell ref="B49:B50"/>
    <x:mergeCell ref="C49:C50"/>
    <x:mergeCell ref="D49:D50"/>
  </x:mergeCells>
  <x:conditionalFormatting sqref="K11:K28 K31:K48 K51:K68 K71:K49994">
    <x:cfRule type="cellIs" dxfId="55" priority="15" operator="greaterThan">
      <x:formula>$C$6</x:formula>
    </x:cfRule>
    <x:cfRule type="cellIs" dxfId="54" priority="16" operator="greaterThan">
      <x:formula>$C$5</x:formula>
    </x:cfRule>
  </x:conditionalFormatting>
  <x:conditionalFormatting sqref="K11:P28 K31:P48 K51:P68 K71:P49994">
    <x:cfRule type="cellIs" dxfId="53" priority="14" operator="greaterThan">
      <x:formula>0</x:formula>
    </x:cfRule>
  </x:conditionalFormatting>
  <x:conditionalFormatting sqref="N11:N28 N31:N48 N51:N68 N71:N49994">
    <x:cfRule type="cellIs" dxfId="52" priority="12" operator="greaterThan">
      <x:formula>$E$6</x:formula>
    </x:cfRule>
    <x:cfRule type="cellIs" dxfId="51" priority="13" operator="greaterThan">
      <x:formula>$E$5</x:formula>
    </x:cfRule>
  </x:conditionalFormatting>
  <x:conditionalFormatting sqref="O11:O28 O31:O48 O51:O68 O71:O49994">
    <x:cfRule type="cellIs" dxfId="50" priority="10" operator="greaterThan">
      <x:formula>$K$6</x:formula>
    </x:cfRule>
    <x:cfRule type="cellIs" dxfId="49" priority="11" operator="greaterThan">
      <x:formula>$K$5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.109375" defaultRowHeight="14.399999618530273"/>
  <x:cols>
    <x:col min="1" max="1" width="5.109375" customWidth="1"/>
    <x:col min="2" max="7" width="12.6640625" style="16" customWidth="1"/>
    <x:col min="8" max="10" width="12.6640625" style="23" customWidth="1"/>
    <x:col min="11" max="16" width="12.6640625" style="24" customWidth="1"/>
    <x:col min="17" max="17" width="12.6640625" style="16" customWidth="1"/>
  </x:cols>
  <x:sheetData>
    <x:row r="1" s="6" customFormat="1" ht="23.399999618530273">
      <x:c r="A1" s="1" t="s">
        <x:v>0</x:v>
      </x:c>
      <x:c r="B1" s="60" t="s">
        <x:v>46</x:v>
      </x:c>
      <x:c r="C1" s="60"/>
      <x:c r="D1" s="60"/>
      <x:c r="E1" s="2" t="s">
        <x:v>2</x:v>
      </x:c>
      <x:c r="F1" s="3"/>
      <x:c r="G1" s="3"/>
      <x:c r="H1" s="4"/>
      <x:c r="I1" s="4"/>
      <x:c r="J1" s="4"/>
      <x:c r="K1" s="5"/>
      <x:c r="L1" s="5"/>
      <x:c r="M1" s="5"/>
      <x:c r="N1" s="5"/>
      <x:c r="O1" s="5"/>
      <x:c r="P1" s="5"/>
      <x:c r="Q1" s="3"/>
    </x:row>
    <x:row r="2" s="6" customFormat="1" ht="15" customHeight="1">
      <x:c r="A2" s="1"/>
      <x:c r="B2" s="56" t="s">
        <x:v>3</x:v>
      </x:c>
      <x:c r="C2" s="57" t="s">
        <x:v>4</x:v>
      </x:c>
      <x:c r="D2" s="57" t="s">
        <x:v>5</x:v>
      </x:c>
      <x:c r="E2" s="57" t="s">
        <x:v>6</x:v>
      </x:c>
      <x:c r="F2" s="57" t="s">
        <x:v>7</x:v>
      </x:c>
      <x:c r="G2" s="57" t="s">
        <x:v>8</x:v>
      </x:c>
      <x:c r="H2" s="57" t="s">
        <x:v>9</x:v>
      </x:c>
      <x:c r="I2" s="8"/>
      <x:c r="J2" s="8"/>
      <x:c r="K2" s="57" t="s">
        <x:v>10</x:v>
      </x:c>
      <x:c r="L2" s="57" t="s">
        <x:v>11</x:v>
      </x:c>
      <x:c r="M2" s="57" t="s">
        <x:v>12</x:v>
      </x:c>
    </x:row>
    <x:row r="3" s="6" customFormat="1" ht="15" customHeight="1">
      <x:c r="A3" s="1"/>
      <x:c r="B3" s="56"/>
      <x:c r="C3" s="57"/>
      <x:c r="D3" s="57"/>
      <x:c r="E3" s="57"/>
      <x:c r="F3" s="57"/>
      <x:c r="G3" s="57"/>
      <x:c r="H3" s="57"/>
      <x:c r="I3" s="8"/>
      <x:c r="J3" s="8"/>
      <x:c r="K3" s="57"/>
      <x:c r="L3" s="57"/>
      <x:c r="M3" s="57"/>
    </x:row>
    <x:row r="4" s="6" customFormat="1" ht="15" customHeight="1">
      <x:c r="A4" s="1"/>
      <x:c r="B4" s="9" t="s">
        <x:v>13</x:v>
      </x:c>
      <x:c r="C4" s="10" t="s">
        <x:v>14</x:v>
      </x:c>
      <x:c r="D4" s="11" t="s">
        <x:v>14</x:v>
      </x:c>
      <x:c r="E4" s="10" t="s">
        <x:v>14</x:v>
      </x:c>
      <x:c r="F4" s="11" t="s">
        <x:v>14</x:v>
      </x:c>
      <x:c r="G4" s="11" t="e">
        <x:f>VLOOKUP(A1,[2]Std!1:1048576,15,FALSE)</x:f>
        <x:v>#NAME?</x:v>
      </x:c>
      <x:c r="H4" s="11" t="e">
        <x:f>VLOOKUP(A1,[2]Std!1:1048576,18,FALSE)</x:f>
        <x:v>#NAME?</x:v>
      </x:c>
      <x:c r="I4" s="11"/>
      <x:c r="J4" s="11"/>
      <x:c r="K4" s="11" t="e">
        <x:f>VLOOKUP(A1,[2]Std!1:1048576,21,FALSE)</x:f>
        <x:v>#NAME?</x:v>
      </x:c>
      <x:c r="L4" s="10" t="s">
        <x:v>14</x:v>
      </x:c>
      <x:c r="M4" s="12" t="s">
        <x:v>14</x:v>
      </x:c>
    </x:row>
    <x:row r="5" s="6" customFormat="1" ht="15" customHeight="1">
      <x:c r="A5" s="1"/>
      <x:c r="B5" s="9" t="s">
        <x:v>15</x:v>
      </x:c>
      <x:c r="C5" s="10">
        <x:v>1</x:v>
      </x:c>
      <x:c r="D5" s="11">
        <x:v>0.2</x:v>
      </x:c>
      <x:c r="E5" s="10">
        <x:v>3</x:v>
      </x:c>
      <x:c r="F5" s="11">
        <x:v>0.9</x:v>
      </x:c>
      <x:c r="G5" s="11" t="e">
        <x:f>VLOOKUP(A1,[2]Std!1:1048576,16,FALSE)</x:f>
        <x:v>#NAME?</x:v>
      </x:c>
      <x:c r="H5" s="11" t="e">
        <x:f>VLOOKUP(A1,[2]Std!1:1048576,19,FALSE)</x:f>
        <x:v>#NAME?</x:v>
      </x:c>
      <x:c r="I5" s="11"/>
      <x:c r="J5" s="11"/>
      <x:c r="K5" s="11" t="e">
        <x:f>VLOOKUP(A1,[2]Std!1:1048576,22,FALSE)</x:f>
        <x:v>#NAME?</x:v>
      </x:c>
      <x:c r="L5" s="10">
        <x:v>0</x:v>
      </x:c>
      <x:c r="M5" s="12">
        <x:v>3.8</x:v>
      </x:c>
    </x:row>
    <x:row r="6" s="6" customFormat="1" ht="15" customHeight="1">
      <x:c r="A6" s="1"/>
      <x:c r="B6" s="9" t="s">
        <x:v>16</x:v>
      </x:c>
      <x:c r="C6" s="10">
        <x:v>2</x:v>
      </x:c>
      <x:c r="D6" s="11">
        <x:v>0.3</x:v>
      </x:c>
      <x:c r="E6" s="10">
        <x:v>5</x:v>
      </x:c>
      <x:c r="F6" s="11">
        <x:v>1.3</x:v>
      </x:c>
      <x:c r="G6" s="11" t="e">
        <x:f>VLOOKUP(A1,[2]Std!1:1048576,17,FALSE)</x:f>
        <x:v>#NAME?</x:v>
      </x:c>
      <x:c r="H6" s="11" t="e">
        <x:f>VLOOKUP(A1,[2]Std!1:1048576,20,FALSE)</x:f>
        <x:v>#NAME?</x:v>
      </x:c>
      <x:c r="I6" s="11"/>
      <x:c r="J6" s="11"/>
      <x:c r="K6" s="11" t="e">
        <x:f>VLOOKUP(A1,[2]Std!1:1048576,23,FALSE)</x:f>
        <x:v>#NAME?</x:v>
      </x:c>
      <x:c r="L6" s="10">
        <x:v>1</x:v>
      </x:c>
      <x:c r="M6" s="12">
        <x:v>3.5</x:v>
      </x:c>
    </x:row>
    <x:row r="7" s="6" customFormat="1" ht="15" customHeight="1">
      <x:c r="A7" s="1"/>
      <x:c r="B7" t="s">
        <x:v>17</x:v>
      </x:c>
      <x:c r="D7" s="3"/>
      <x:c r="E7" s="3"/>
      <x:c r="F7" s="3"/>
      <x:c r="G7" s="3"/>
      <x:c r="H7" s="4"/>
      <x:c r="I7" s="4"/>
      <x:c r="J7" s="4"/>
      <x:c r="K7" s="5"/>
      <x:c r="L7" s="5"/>
      <x:c r="M7" s="5"/>
      <x:c r="N7" s="5"/>
      <x:c r="O7" s="5"/>
      <x:c r="P7" s="5"/>
      <x:c r="Q7" s="3"/>
    </x:row>
    <x:row r="8" s="6" customFormat="1" ht="15" customHeight="1">
      <x:c r="A8" s="1"/>
      <x:c r="B8" t="s">
        <x:v>18</x:v>
      </x:c>
      <x:c r="C8" s="13"/>
      <x:c r="D8" s="3"/>
      <x:c r="E8" s="3"/>
      <x:c r="F8" s="3"/>
      <x:c r="G8" s="3"/>
      <x:c r="L8" t="s">
        <x:v>19</x:v>
      </x:c>
      <x:c r="N8" s="5"/>
      <x:c r="O8" s="5"/>
      <x:c r="P8" s="5"/>
      <x:c r="Q8" s="3"/>
    </x:row>
    <x:row r="9" ht="15" customHeight="1">
      <x:c r="B9" s="57" t="s">
        <x:v>20</x:v>
      </x:c>
      <x:c r="C9" s="57" t="s">
        <x:v>21</x:v>
      </x:c>
      <x:c r="D9" s="56" t="s">
        <x:v>22</x:v>
      </x:c>
      <x:c r="E9" s="9" t="s">
        <x:v>23</x:v>
      </x:c>
      <x:c r="F9" s="14" t="s">
        <x:v>24</x:v>
      </x:c>
      <x:c r="G9" s="9" t="s">
        <x:v>24</x:v>
      </x:c>
      <x:c r="H9" s="58" t="s">
        <x:v>25</x:v>
      </x:c>
      <x:c r="I9" s="15"/>
      <x:c r="J9" s="15"/>
      <x:c r="K9" s="59" t="s">
        <x:v>26</x:v>
      </x:c>
      <x:c r="L9" s="59"/>
      <x:c r="M9" s="59"/>
      <x:c r="N9" s="59"/>
      <x:c r="O9" s="59"/>
      <x:c r="P9" s="59"/>
      <x:c r="Q9" s="56" t="s">
        <x:v>27</x:v>
      </x:c>
      <x:c r="R9" s="16"/>
    </x:row>
    <x:row r="10" ht="28.799999237060547">
      <x:c r="B10" s="56"/>
      <x:c r="C10" s="56"/>
      <x:c r="D10" s="56"/>
      <x:c r="E10" s="7" t="s">
        <x:v>28</x:v>
      </x:c>
      <x:c r="F10" s="8" t="s">
        <x:v>29</x:v>
      </x:c>
      <x:c r="G10" s="8" t="s">
        <x:v>30</x:v>
      </x:c>
      <x:c r="H10" s="58"/>
      <x:c r="I10" s="15" t="s">
        <x:v>31</x:v>
      </x:c>
      <x:c r="J10" s="15" t="s">
        <x:v>32</x:v>
      </x:c>
      <x:c r="K10" s="17" t="s">
        <x:v>33</x:v>
      </x:c>
      <x:c r="L10" s="17" t="s">
        <x:v>34</x:v>
      </x:c>
      <x:c r="M10" s="17" t="s">
        <x:v>35</x:v>
      </x:c>
      <x:c r="N10" s="17" t="s">
        <x:v>36</x:v>
      </x:c>
      <x:c r="O10" s="17" t="s">
        <x:v>10</x:v>
      </x:c>
      <x:c r="P10" s="17" t="s">
        <x:v>37</x:v>
      </x:c>
      <x:c r="Q10" s="56"/>
      <x:c r="R10" s="16"/>
    </x:row>
    <x:row r="11">
      <x:c r="B11" s="18" t="s">
        <x:v>38</x:v>
      </x:c>
      <x:c r="C11" s="18" t="s">
        <x:v>47</x:v>
      </x:c>
      <x:c r="D11" s="19" t="str">
        <x:f>$B$1</x:f>
        <x:v>SD 0.5 x5N(E) </x:v>
      </x:c>
      <x:c r="E11" s="20" t="s">
        <x:v>48</x:v>
      </x:c>
      <x:c r="F11" s="18">
        <x:v>60622</x:v>
      </x:c>
      <x:c r="G11" s="18">
        <x:v>41106</x:v>
      </x:c>
      <x:c r="H11" s="21">
        <x:v>0.40833333333333333</x:v>
      </x:c>
      <x:c r="I11" s="20">
        <x:v>6</x:v>
      </x:c>
      <x:c r="J11" s="20">
        <x:v>1</x:v>
      </x:c>
      <x:c r="K11" s="10">
        <x:v>0</x:v>
      </x:c>
      <x:c r="L11" s="10">
        <x:v>0</x:v>
      </x:c>
      <x:c r="M11" s="10">
        <x:v>0</x:v>
      </x:c>
      <x:c r="N11" s="10" t="n">
        <x:f>L11+M11</x:f>
        <x:v>0</x:v>
      </x:c>
      <x:c r="O11" s="10">
        <x:v>0</x:v>
      </x:c>
      <x:c r="P11" s="10">
        <x:v>0</x:v>
      </x:c>
      <x:c r="Q11" s="20" t="s">
        <x:v>41</x:v>
      </x:c>
    </x:row>
    <x:row r="12" s="16" customFormat="1">
      <x:c r="A12"/>
      <x:c r="B12" s="18"/>
      <x:c r="C12" s="18" t="s">
        <x:v>47</x:v>
      </x:c>
      <x:c r="D12" s="19" t="str">
        <x:f t="shared" ref="D12:D25" si="0">$B$1</x:f>
        <x:v>SD 0.5 x5N(E) </x:v>
      </x:c>
      <x:c r="E12" s="20" t="s">
        <x:v>48</x:v>
      </x:c>
      <x:c r="F12" s="18">
        <x:v>60622</x:v>
      </x:c>
      <x:c r="G12" s="18">
        <x:v>41106</x:v>
      </x:c>
      <x:c r="H12" s="21">
        <x:v>0.40833333333333333</x:v>
      </x:c>
      <x:c r="I12" s="20">
        <x:v>6</x:v>
      </x:c>
      <x:c r="J12" s="20">
        <x:v>2</x:v>
      </x:c>
      <x:c r="K12" s="10">
        <x:v>0</x:v>
      </x:c>
      <x:c r="L12" s="10">
        <x:v>0</x:v>
      </x:c>
      <x:c r="M12" s="10">
        <x:v>0</x:v>
      </x:c>
      <x:c r="N12" s="10" t="n">
        <x:f>L12+M12</x:f>
        <x:v>0</x:v>
      </x:c>
      <x:c r="O12" s="10">
        <x:v>0</x:v>
      </x:c>
      <x:c r="P12" s="10">
        <x:v>0</x:v>
      </x:c>
      <x:c r="Q12" s="20" t="s">
        <x:v>42</x:v>
      </x:c>
      <x:c r="R12"/>
    </x:row>
    <x:row r="13" s="16" customFormat="1">
      <x:c r="A13"/>
      <x:c r="B13" s="18"/>
      <x:c r="C13" s="18" t="s">
        <x:v>47</x:v>
      </x:c>
      <x:c r="D13" s="19" t="str">
        <x:f t="shared" si="0"/>
        <x:v>SD 0.5 x5N(E) </x:v>
      </x:c>
      <x:c r="E13" s="20" t="s">
        <x:v>48</x:v>
      </x:c>
      <x:c r="F13" s="18">
        <x:v>60622</x:v>
      </x:c>
      <x:c r="G13" s="18">
        <x:v>41106</x:v>
      </x:c>
      <x:c r="H13" s="21">
        <x:v>0.40833333333333333</x:v>
      </x:c>
      <x:c r="I13" s="20">
        <x:v>6</x:v>
      </x:c>
      <x:c r="J13" s="20">
        <x:v>3</x:v>
      </x:c>
      <x:c r="K13" s="10">
        <x:v>0</x:v>
      </x:c>
      <x:c r="L13" s="10">
        <x:v>0</x:v>
      </x:c>
      <x:c r="M13" s="10">
        <x:v>0</x:v>
      </x:c>
      <x:c r="N13" s="10" t="n">
        <x:f t="shared" ref="N13:N25" si="1">L13+M13</x:f>
        <x:v>0</x:v>
      </x:c>
      <x:c r="O13" s="10">
        <x:v>0</x:v>
      </x:c>
      <x:c r="P13" s="10">
        <x:v>0</x:v>
      </x:c>
      <x:c r="Q13" s="20" t="s">
        <x:v>41</x:v>
      </x:c>
      <x:c r="R13"/>
    </x:row>
    <x:row r="14" s="16" customFormat="1">
      <x:c r="A14"/>
      <x:c r="B14" s="20"/>
      <x:c r="C14" s="18" t="s">
        <x:v>47</x:v>
      </x:c>
      <x:c r="D14" s="19" t="str">
        <x:f t="shared" si="0"/>
        <x:v>SD 0.5 x5N(E) </x:v>
      </x:c>
      <x:c r="E14" s="20" t="s">
        <x:v>48</x:v>
      </x:c>
      <x:c r="F14" s="18">
        <x:v>60622</x:v>
      </x:c>
      <x:c r="G14" s="18">
        <x:v>41106</x:v>
      </x:c>
      <x:c r="H14" s="21">
        <x:v>0.40833333333333333</x:v>
      </x:c>
      <x:c r="I14" s="20">
        <x:v>6</x:v>
      </x:c>
      <x:c r="J14" s="20">
        <x:v>4</x:v>
      </x:c>
      <x:c r="K14" s="10">
        <x:v>0</x:v>
      </x:c>
      <x:c r="L14" s="10">
        <x:v>0</x:v>
      </x:c>
      <x:c r="M14" s="10">
        <x:v>0</x:v>
      </x:c>
      <x:c r="N14" s="10">
        <x:f t="shared" si="1"/>
        <x:v>0</x:v>
      </x:c>
      <x:c r="O14" s="10">
        <x:v>0</x:v>
      </x:c>
      <x:c r="P14" s="10">
        <x:v>0</x:v>
      </x:c>
      <x:c r="Q14" s="20" t="s">
        <x:v>42</x:v>
      </x:c>
      <x:c r="R14"/>
    </x:row>
    <x:row r="15" s="16" customFormat="1">
      <x:c r="A15"/>
      <x:c r="B15" s="20"/>
      <x:c r="C15" s="18" t="s">
        <x:v>47</x:v>
      </x:c>
      <x:c r="D15" s="19" t="str">
        <x:f t="shared" si="0"/>
        <x:v>SD 0.5 x5N(E) </x:v>
      </x:c>
      <x:c r="E15" s="20" t="s">
        <x:v>48</x:v>
      </x:c>
      <x:c r="F15" s="18">
        <x:v>60622</x:v>
      </x:c>
      <x:c r="G15" s="18">
        <x:v>41106</x:v>
      </x:c>
      <x:c r="H15" s="21">
        <x:v>0.40833333333333333</x:v>
      </x:c>
      <x:c r="I15" s="20">
        <x:v>6</x:v>
      </x:c>
      <x:c r="J15" s="20">
        <x:v>5</x:v>
      </x:c>
      <x:c r="K15" s="10">
        <x:v>0</x:v>
      </x:c>
      <x:c r="L15" s="10">
        <x:v>0</x:v>
      </x:c>
      <x:c r="M15" s="10">
        <x:v>0</x:v>
      </x:c>
      <x:c r="N15" s="10">
        <x:f t="shared" si="1"/>
        <x:v>0</x:v>
      </x:c>
      <x:c r="O15" s="10">
        <x:v>1</x:v>
      </x:c>
      <x:c r="P15" s="10">
        <x:v>0</x:v>
      </x:c>
      <x:c r="Q15" s="20" t="s">
        <x:v>41</x:v>
      </x:c>
      <x:c r="R15"/>
    </x:row>
    <x:row r="16" s="16" customFormat="1">
      <x:c r="A16"/>
      <x:c r="B16" s="20"/>
      <x:c r="C16" s="18" t="s">
        <x:v>47</x:v>
      </x:c>
      <x:c r="D16" s="19" t="str">
        <x:f t="shared" si="0"/>
        <x:v>SD 0.5 x5N(E) </x:v>
      </x:c>
      <x:c r="E16" s="20" t="s">
        <x:v>48</x:v>
      </x:c>
      <x:c r="F16" s="18">
        <x:v>60622</x:v>
      </x:c>
      <x:c r="G16" s="18">
        <x:v>41106</x:v>
      </x:c>
      <x:c r="H16" s="21">
        <x:v>0.40833333333333333</x:v>
      </x:c>
      <x:c r="I16" s="20">
        <x:v>6</x:v>
      </x:c>
      <x:c r="J16" s="20">
        <x:v>6</x:v>
      </x:c>
      <x:c r="K16" s="10">
        <x:v>0</x:v>
      </x:c>
      <x:c r="L16" s="10">
        <x:v>0</x:v>
      </x:c>
      <x:c r="M16" s="10">
        <x:v>0</x:v>
      </x:c>
      <x:c r="N16" s="10">
        <x:f t="shared" si="1"/>
        <x:v>0</x:v>
      </x:c>
      <x:c r="O16" s="10">
        <x:v>1</x:v>
      </x:c>
      <x:c r="P16" s="10">
        <x:v>0</x:v>
      </x:c>
      <x:c r="Q16" s="20" t="s">
        <x:v>41</x:v>
      </x:c>
      <x:c r="R16"/>
    </x:row>
    <x:row r="17" s="16" customFormat="1">
      <x:c r="A17"/>
      <x:c r="B17" s="18"/>
      <x:c r="C17" s="18" t="s">
        <x:v>47</x:v>
      </x:c>
      <x:c r="D17" s="19" t="str">
        <x:f t="shared" si="0"/>
        <x:v>SD 0.5 x5N(E) </x:v>
      </x:c>
      <x:c r="E17" s="20" t="s">
        <x:v>48</x:v>
      </x:c>
      <x:c r="F17" s="18">
        <x:v>60622</x:v>
      </x:c>
      <x:c r="G17" s="18">
        <x:v>41106</x:v>
      </x:c>
      <x:c r="H17" s="21">
        <x:v>0.40833333333333333</x:v>
      </x:c>
      <x:c r="I17" s="20">
        <x:v>6</x:v>
      </x:c>
      <x:c r="J17" s="20">
        <x:v>7</x:v>
      </x:c>
      <x:c r="K17" s="10">
        <x:v>0</x:v>
      </x:c>
      <x:c r="L17" s="10">
        <x:v>0</x:v>
      </x:c>
      <x:c r="M17" s="10">
        <x:v>0</x:v>
      </x:c>
      <x:c r="N17" s="10">
        <x:f t="shared" si="1"/>
        <x:v>0</x:v>
      </x:c>
      <x:c r="O17" s="10">
        <x:v>0</x:v>
      </x:c>
      <x:c r="P17" s="10">
        <x:v>0</x:v>
      </x:c>
      <x:c r="Q17" s="20" t="s">
        <x:v>41</x:v>
      </x:c>
      <x:c r="R17"/>
    </x:row>
    <x:row r="18" s="16" customFormat="1">
      <x:c r="A18"/>
      <x:c r="B18" s="18"/>
      <x:c r="C18" s="18" t="s">
        <x:v>47</x:v>
      </x:c>
      <x:c r="D18" s="19" t="str">
        <x:f t="shared" si="0"/>
        <x:v>SD 0.5 x5N(E) </x:v>
      </x:c>
      <x:c r="E18" s="20" t="s">
        <x:v>48</x:v>
      </x:c>
      <x:c r="F18" s="18">
        <x:v>60622</x:v>
      </x:c>
      <x:c r="G18" s="18">
        <x:v>41106</x:v>
      </x:c>
      <x:c r="H18" s="21">
        <x:v>0.40833333333333333</x:v>
      </x:c>
      <x:c r="I18" s="20">
        <x:v>6</x:v>
      </x:c>
      <x:c r="J18" s="20">
        <x:v>8</x:v>
      </x:c>
      <x:c r="K18" s="10">
        <x:v>0</x:v>
      </x:c>
      <x:c r="L18" s="10">
        <x:v>0</x:v>
      </x:c>
      <x:c r="M18" s="10">
        <x:v>0</x:v>
      </x:c>
      <x:c r="N18" s="10">
        <x:f t="shared" si="1"/>
        <x:v>0</x:v>
      </x:c>
      <x:c r="O18" s="10">
        <x:v>0</x:v>
      </x:c>
      <x:c r="P18" s="10">
        <x:v>0</x:v>
      </x:c>
      <x:c r="Q18" s="20" t="s">
        <x:v>42</x:v>
      </x:c>
      <x:c r="R18"/>
    </x:row>
    <x:row r="19" s="16" customFormat="1">
      <x:c r="A19"/>
      <x:c r="B19" s="18"/>
      <x:c r="C19" s="18" t="s">
        <x:v>47</x:v>
      </x:c>
      <x:c r="D19" s="19" t="str">
        <x:f t="shared" si="0"/>
        <x:v>SD 0.5 x5N(E) </x:v>
      </x:c>
      <x:c r="E19" s="20" t="s">
        <x:v>48</x:v>
      </x:c>
      <x:c r="F19" s="18">
        <x:v>60622</x:v>
      </x:c>
      <x:c r="G19" s="18">
        <x:v>41106</x:v>
      </x:c>
      <x:c r="H19" s="21">
        <x:v>0.40833333333333333</x:v>
      </x:c>
      <x:c r="I19" s="20">
        <x:v>3</x:v>
      </x:c>
      <x:c r="J19" s="20">
        <x:v>9</x:v>
      </x:c>
      <x:c r="K19" s="10">
        <x:v>0</x:v>
      </x:c>
      <x:c r="L19" s="10">
        <x:v>0</x:v>
      </x:c>
      <x:c r="M19" s="10">
        <x:v>0</x:v>
      </x:c>
      <x:c r="N19" s="10">
        <x:f t="shared" si="1"/>
        <x:v>0</x:v>
      </x:c>
      <x:c r="O19" s="10">
        <x:v>0</x:v>
      </x:c>
      <x:c r="P19" s="10">
        <x:v>0</x:v>
      </x:c>
      <x:c r="Q19" s="20" t="s">
        <x:v>41</x:v>
      </x:c>
      <x:c r="R19"/>
    </x:row>
    <x:row r="20" s="16" customFormat="1">
      <x:c r="A20"/>
      <x:c r="B20" s="20"/>
      <x:c r="C20" s="18" t="s">
        <x:v>47</x:v>
      </x:c>
      <x:c r="D20" s="19" t="str">
        <x:f t="shared" si="0"/>
        <x:v>SD 0.5 x5N(E) </x:v>
      </x:c>
      <x:c r="E20" s="20" t="s">
        <x:v>48</x:v>
      </x:c>
      <x:c r="F20" s="18">
        <x:v>60622</x:v>
      </x:c>
      <x:c r="G20" s="18">
        <x:v>41106</x:v>
      </x:c>
      <x:c r="H20" s="21">
        <x:v>0.40833333333333333</x:v>
      </x:c>
      <x:c r="I20" s="20">
        <x:v>6</x:v>
      </x:c>
      <x:c r="J20" s="20">
        <x:v>10</x:v>
      </x:c>
      <x:c r="K20" s="10">
        <x:v>0</x:v>
      </x:c>
      <x:c r="L20" s="10">
        <x:v>0</x:v>
      </x:c>
      <x:c r="M20" s="10">
        <x:v>0</x:v>
      </x:c>
      <x:c r="N20" s="10">
        <x:f t="shared" si="1"/>
        <x:v>0</x:v>
      </x:c>
      <x:c r="O20" s="10">
        <x:v>1</x:v>
      </x:c>
      <x:c r="P20" s="10">
        <x:v>0</x:v>
      </x:c>
      <x:c r="Q20" s="20" t="s">
        <x:v>41</x:v>
      </x:c>
      <x:c r="R20"/>
    </x:row>
    <x:row r="21" s="16" customFormat="1">
      <x:c r="A21"/>
      <x:c r="B21" s="20"/>
      <x:c r="C21" s="18" t="s">
        <x:v>47</x:v>
      </x:c>
      <x:c r="D21" s="19" t="str">
        <x:f t="shared" si="0"/>
        <x:v>SD 0.5 x5N(E) </x:v>
      </x:c>
      <x:c r="E21" s="20" t="s">
        <x:v>48</x:v>
      </x:c>
      <x:c r="F21" s="18">
        <x:v>60622</x:v>
      </x:c>
      <x:c r="G21" s="18">
        <x:v>41106</x:v>
      </x:c>
      <x:c r="H21" s="21">
        <x:v>0.40833333333333333</x:v>
      </x:c>
      <x:c r="I21" s="20">
        <x:v>3</x:v>
      </x:c>
      <x:c r="J21" s="20">
        <x:v>11</x:v>
      </x:c>
      <x:c r="K21" s="10">
        <x:v>0</x:v>
      </x:c>
      <x:c r="L21" s="10">
        <x:v>0</x:v>
      </x:c>
      <x:c r="M21" s="10">
        <x:v>1</x:v>
      </x:c>
      <x:c r="N21" s="10">
        <x:f t="shared" si="1"/>
        <x:v>1</x:v>
      </x:c>
      <x:c r="O21" s="10">
        <x:v>0</x:v>
      </x:c>
      <x:c r="P21" s="10">
        <x:v>0</x:v>
      </x:c>
      <x:c r="Q21" s="20" t="s">
        <x:v>42</x:v>
      </x:c>
      <x:c r="R21"/>
    </x:row>
    <x:row r="22" s="16" customFormat="1">
      <x:c r="A22"/>
      <x:c r="B22" s="20"/>
      <x:c r="C22" s="18" t="s">
        <x:v>47</x:v>
      </x:c>
      <x:c r="D22" s="19" t="str">
        <x:f t="shared" si="0"/>
        <x:v>SD 0.5 x5N(E) </x:v>
      </x:c>
      <x:c r="E22" s="20" t="s">
        <x:v>48</x:v>
      </x:c>
      <x:c r="F22" s="18">
        <x:v>60622</x:v>
      </x:c>
      <x:c r="G22" s="18">
        <x:v>41106</x:v>
      </x:c>
      <x:c r="H22" s="21">
        <x:v>0.40833333333333333</x:v>
      </x:c>
      <x:c r="I22" s="20">
        <x:v>6</x:v>
      </x:c>
      <x:c r="J22" s="20">
        <x:v>12</x:v>
      </x:c>
      <x:c r="K22" s="10">
        <x:v>0</x:v>
      </x:c>
      <x:c r="L22" s="10">
        <x:v>0</x:v>
      </x:c>
      <x:c r="M22" s="10">
        <x:v>0</x:v>
      </x:c>
      <x:c r="N22" s="10">
        <x:f t="shared" si="1"/>
        <x:v>0</x:v>
      </x:c>
      <x:c r="O22" s="10">
        <x:v>0</x:v>
      </x:c>
      <x:c r="P22" s="10">
        <x:v>0</x:v>
      </x:c>
      <x:c r="Q22" s="20" t="s">
        <x:v>41</x:v>
      </x:c>
      <x:c r="R22"/>
    </x:row>
    <x:row r="23" s="16" customFormat="1" ht="15" customHeight="1">
      <x:c r="A23"/>
      <x:c r="B23" s="20"/>
      <x:c r="C23" s="18" t="s">
        <x:v>47</x:v>
      </x:c>
      <x:c r="D23" s="19" t="str">
        <x:f t="shared" si="0"/>
        <x:v>SD 0.5 x5N(E) </x:v>
      </x:c>
      <x:c r="E23" s="20" t="s">
        <x:v>48</x:v>
      </x:c>
      <x:c r="F23" s="18">
        <x:v>60622</x:v>
      </x:c>
      <x:c r="G23" s="18">
        <x:v>41106</x:v>
      </x:c>
      <x:c r="H23" s="21">
        <x:v>0.40833333333333333</x:v>
      </x:c>
      <x:c r="I23" s="20">
        <x:v>3</x:v>
      </x:c>
      <x:c r="J23" s="20">
        <x:v>13</x:v>
      </x:c>
      <x:c r="K23" s="10">
        <x:v>0</x:v>
      </x:c>
      <x:c r="L23" s="10">
        <x:v>0</x:v>
      </x:c>
      <x:c r="M23" s="10">
        <x:v>0</x:v>
      </x:c>
      <x:c r="N23" s="10">
        <x:f t="shared" si="1"/>
        <x:v>0</x:v>
      </x:c>
      <x:c r="O23" s="10">
        <x:v>0</x:v>
      </x:c>
      <x:c r="P23" s="10">
        <x:v>0</x:v>
      </x:c>
      <x:c r="Q23" s="20" t="s">
        <x:v>42</x:v>
      </x:c>
      <x:c r="R23"/>
    </x:row>
    <x:row r="24" s="16" customFormat="1" ht="15" customHeight="1">
      <x:c r="A24"/>
      <x:c r="B24" s="20"/>
      <x:c r="C24" s="18" t="s">
        <x:v>47</x:v>
      </x:c>
      <x:c r="D24" s="19" t="str">
        <x:f t="shared" si="0"/>
        <x:v>SD 0.5 x5N(E) </x:v>
      </x:c>
      <x:c r="E24" s="20" t="s">
        <x:v>48</x:v>
      </x:c>
      <x:c r="F24" s="18">
        <x:v>60622</x:v>
      </x:c>
      <x:c r="G24" s="18">
        <x:v>41106</x:v>
      </x:c>
      <x:c r="H24" s="21">
        <x:v>0.40833333333333333</x:v>
      </x:c>
      <x:c r="I24" s="20">
        <x:v>6</x:v>
      </x:c>
      <x:c r="J24" s="20">
        <x:v>14</x:v>
      </x:c>
      <x:c r="K24" s="10">
        <x:v>0</x:v>
      </x:c>
      <x:c r="L24" s="10">
        <x:v>0</x:v>
      </x:c>
      <x:c r="M24" s="10">
        <x:v>0</x:v>
      </x:c>
      <x:c r="N24" s="10">
        <x:f t="shared" si="1"/>
        <x:v>0</x:v>
      </x:c>
      <x:c r="O24" s="10">
        <x:v>0</x:v>
      </x:c>
      <x:c r="P24" s="10">
        <x:v>0</x:v>
      </x:c>
      <x:c r="Q24" s="20" t="s">
        <x:v>41</x:v>
      </x:c>
      <x:c r="R24"/>
    </x:row>
    <x:row r="25" s="16" customFormat="1" ht="15" customHeight="1">
      <x:c r="A25"/>
      <x:c r="B25" s="20"/>
      <x:c r="C25" s="18" t="s">
        <x:v>47</x:v>
      </x:c>
      <x:c r="D25" s="19" t="str">
        <x:f t="shared" si="0"/>
        <x:v>SD 0.5 x5N(E) </x:v>
      </x:c>
      <x:c r="E25" s="20" t="s">
        <x:v>48</x:v>
      </x:c>
      <x:c r="F25" s="18">
        <x:v>60622</x:v>
      </x:c>
      <x:c r="G25" s="18">
        <x:v>41106</x:v>
      </x:c>
      <x:c r="H25" s="21">
        <x:v>0.40833333333333333</x:v>
      </x:c>
      <x:c r="I25" s="20">
        <x:v>3</x:v>
      </x:c>
      <x:c r="J25" s="20">
        <x:v>15</x:v>
      </x:c>
      <x:c r="K25" s="10">
        <x:v>0</x:v>
      </x:c>
      <x:c r="L25" s="10">
        <x:v>0</x:v>
      </x:c>
      <x:c r="M25" s="10">
        <x:v>0</x:v>
      </x:c>
      <x:c r="N25" s="10">
        <x:f t="shared" si="1"/>
        <x:v>0</x:v>
      </x:c>
      <x:c r="O25" s="10">
        <x:v>0</x:v>
      </x:c>
      <x:c r="P25" s="10">
        <x:v>0</x:v>
      </x:c>
      <x:c r="Q25" s="20" t="s">
        <x:v>42</x:v>
      </x:c>
      <x:c r="R25"/>
    </x:row>
    <x:row r="26" s="16" customFormat="1">
      <x:c r="A26"/>
      <x:c r="C26" s="22"/>
      <x:c r="D26" s="30"/>
      <x:c r="F26" s="22"/>
      <x:c r="G26" s="22"/>
      <x:c r="H26" s="23"/>
      <x:c r="I26" s="23"/>
      <x:c r="K26" s="24"/>
      <x:c r="L26" s="24"/>
      <x:c r="M26" s="24"/>
      <x:c r="N26" s="24"/>
      <x:c r="O26" s="24"/>
      <x:c r="P26" s="24"/>
      <x:c r="R26"/>
    </x:row>
    <x:row r="27" s="16" customFormat="1">
      <x:c r="A27"/>
      <x:c r="F27" s="22"/>
      <x:c r="H27" s="23"/>
      <x:c r="I27" s="23"/>
      <x:c r="J27" s="23"/>
      <x:c r="K27" s="24"/>
      <x:c r="L27" s="24"/>
      <x:c r="M27" s="24"/>
      <x:c r="N27" s="24"/>
      <x:c r="O27" s="24"/>
      <x:c r="P27" s="24"/>
      <x:c r="R27"/>
    </x:row>
    <x:row r="28" s="16" customFormat="1">
      <x:c r="A28"/>
      <x:c r="F28" s="22"/>
      <x:c r="H28" s="23"/>
      <x:c r="I28" s="23"/>
      <x:c r="J28" s="23"/>
      <x:c r="K28" s="24"/>
      <x:c r="L28" s="24"/>
      <x:c r="M28" s="24"/>
      <x:c r="N28" s="24"/>
      <x:c r="O28" s="24"/>
      <x:c r="P28" s="24"/>
      <x:c r="R28"/>
    </x:row>
    <x:row r="29" s="16" customFormat="1">
      <x:c r="A29"/>
      <x:c r="B29" s="57" t="s">
        <x:v>20</x:v>
      </x:c>
      <x:c r="C29" s="57" t="s">
        <x:v>21</x:v>
      </x:c>
      <x:c r="D29" s="56" t="s">
        <x:v>22</x:v>
      </x:c>
      <x:c r="E29" s="9" t="s">
        <x:v>23</x:v>
      </x:c>
      <x:c r="F29" s="14" t="s">
        <x:v>24</x:v>
      </x:c>
      <x:c r="G29" s="9" t="s">
        <x:v>24</x:v>
      </x:c>
      <x:c r="H29" s="58" t="s">
        <x:v>25</x:v>
      </x:c>
      <x:c r="I29" s="15"/>
      <x:c r="J29" s="15"/>
      <x:c r="K29" s="59" t="s">
        <x:v>26</x:v>
      </x:c>
      <x:c r="L29" s="59"/>
      <x:c r="M29" s="59"/>
      <x:c r="N29" s="59"/>
      <x:c r="O29" s="59"/>
      <x:c r="P29" s="59"/>
      <x:c r="Q29" s="56" t="s">
        <x:v>27</x:v>
      </x:c>
      <x:c r="R29"/>
    </x:row>
    <x:row r="30" s="16" customFormat="1" ht="28.799999237060547">
      <x:c r="A30"/>
      <x:c r="B30" s="56"/>
      <x:c r="C30" s="56"/>
      <x:c r="D30" s="56"/>
      <x:c r="E30" s="7" t="s">
        <x:v>28</x:v>
      </x:c>
      <x:c r="F30" s="8" t="s">
        <x:v>29</x:v>
      </x:c>
      <x:c r="G30" s="8" t="s">
        <x:v>30</x:v>
      </x:c>
      <x:c r="H30" s="58"/>
      <x:c r="I30" s="15" t="s">
        <x:v>31</x:v>
      </x:c>
      <x:c r="J30" s="15" t="s">
        <x:v>32</x:v>
      </x:c>
      <x:c r="K30" s="17" t="s">
        <x:v>33</x:v>
      </x:c>
      <x:c r="L30" s="17" t="s">
        <x:v>34</x:v>
      </x:c>
      <x:c r="M30" s="17" t="s">
        <x:v>35</x:v>
      </x:c>
      <x:c r="N30" s="17" t="s">
        <x:v>36</x:v>
      </x:c>
      <x:c r="O30" s="17" t="s">
        <x:v>10</x:v>
      </x:c>
      <x:c r="P30" s="17" t="s">
        <x:v>37</x:v>
      </x:c>
      <x:c r="Q30" s="56"/>
      <x:c r="R30"/>
    </x:row>
    <x:row r="31" s="16" customFormat="1">
      <x:c r="A31"/>
      <x:c r="B31" s="18" t="s">
        <x:v>38</x:v>
      </x:c>
      <x:c r="C31" s="18" t="s">
        <x:v>47</x:v>
      </x:c>
      <x:c r="D31" s="19" t="str">
        <x:f t="shared" ref="D31:D45" si="2">$B$1</x:f>
        <x:v>SD 0.5 x5N(E) </x:v>
      </x:c>
      <x:c r="E31" s="20" t="s">
        <x:v>48</x:v>
      </x:c>
      <x:c r="F31" s="18">
        <x:v>60622</x:v>
      </x:c>
      <x:c r="G31" s="18">
        <x:v>41106</x:v>
      </x:c>
      <x:c r="H31" s="21">
        <x:v>0.40833333333333333</x:v>
      </x:c>
      <x:c r="I31" s="20">
        <x:v>6</x:v>
      </x:c>
      <x:c r="J31" s="20">
        <x:v>1</x:v>
      </x:c>
      <x:c r="K31" s="10">
        <x:v>0</x:v>
      </x:c>
      <x:c r="L31" s="10">
        <x:v>0</x:v>
      </x:c>
      <x:c r="M31" s="10">
        <x:v>0</x:v>
      </x:c>
      <x:c r="N31" s="10" t="n">
        <x:f>L31+M31</x:f>
        <x:v>0</x:v>
      </x:c>
      <x:c r="O31" s="10">
        <x:v>0</x:v>
      </x:c>
      <x:c r="P31" s="10">
        <x:v>0</x:v>
      </x:c>
      <x:c r="Q31" s="20" t="s">
        <x:v>43</x:v>
      </x:c>
      <x:c r="R31"/>
    </x:row>
    <x:row r="32" s="16" customFormat="1">
      <x:c r="A32"/>
      <x:c r="B32" s="18"/>
      <x:c r="C32" s="18" t="s">
        <x:v>47</x:v>
      </x:c>
      <x:c r="D32" s="19" t="str">
        <x:f t="shared" si="2"/>
        <x:v>SD 0.5 x5N(E) </x:v>
      </x:c>
      <x:c r="E32" s="20" t="s">
        <x:v>48</x:v>
      </x:c>
      <x:c r="F32" s="18">
        <x:v>60622</x:v>
      </x:c>
      <x:c r="G32" s="18">
        <x:v>41106</x:v>
      </x:c>
      <x:c r="H32" s="21">
        <x:v>0.40833333333333333</x:v>
      </x:c>
      <x:c r="I32" s="20">
        <x:v>3</x:v>
      </x:c>
      <x:c r="J32" s="20">
        <x:v>2</x:v>
      </x:c>
      <x:c r="K32" s="10">
        <x:v>0</x:v>
      </x:c>
      <x:c r="L32" s="10">
        <x:v>0</x:v>
      </x:c>
      <x:c r="M32" s="10">
        <x:v>0</x:v>
      </x:c>
      <x:c r="N32" s="10" t="n">
        <x:f>L32+M32</x:f>
        <x:v>0</x:v>
      </x:c>
      <x:c r="O32" s="10">
        <x:v>0</x:v>
      </x:c>
      <x:c r="P32" s="10">
        <x:v>0</x:v>
      </x:c>
      <x:c r="Q32" s="20" t="s">
        <x:v>43</x:v>
      </x:c>
      <x:c r="R32"/>
    </x:row>
    <x:row r="33" s="16" customFormat="1">
      <x:c r="A33"/>
      <x:c r="B33" s="18"/>
      <x:c r="C33" s="18" t="s">
        <x:v>47</x:v>
      </x:c>
      <x:c r="D33" s="19" t="str">
        <x:f t="shared" si="2"/>
        <x:v>SD 0.5 x5N(E) </x:v>
      </x:c>
      <x:c r="E33" s="20" t="s">
        <x:v>48</x:v>
      </x:c>
      <x:c r="F33" s="18">
        <x:v>60622</x:v>
      </x:c>
      <x:c r="G33" s="18">
        <x:v>41106</x:v>
      </x:c>
      <x:c r="H33" s="21">
        <x:v>0.40833333333333333</x:v>
      </x:c>
      <x:c r="I33" s="20">
        <x:v>6</x:v>
      </x:c>
      <x:c r="J33" s="20">
        <x:v>3</x:v>
      </x:c>
      <x:c r="K33" s="10">
        <x:v>0</x:v>
      </x:c>
      <x:c r="L33" s="10">
        <x:v>0</x:v>
      </x:c>
      <x:c r="M33" s="10">
        <x:v>0</x:v>
      </x:c>
      <x:c r="N33" s="10" t="n">
        <x:f t="shared" ref="N33:N45" si="3">L33+M33</x:f>
        <x:v>0</x:v>
      </x:c>
      <x:c r="O33" s="10">
        <x:v>0</x:v>
      </x:c>
      <x:c r="P33" s="10">
        <x:v>0</x:v>
      </x:c>
      <x:c r="Q33" s="20" t="s">
        <x:v>43</x:v>
      </x:c>
      <x:c r="R33"/>
    </x:row>
    <x:row r="34" s="16" customFormat="1">
      <x:c r="A34"/>
      <x:c r="B34" s="20"/>
      <x:c r="C34" s="18" t="s">
        <x:v>47</x:v>
      </x:c>
      <x:c r="D34" s="19" t="str">
        <x:f t="shared" si="2"/>
        <x:v>SD 0.5 x5N(E) </x:v>
      </x:c>
      <x:c r="E34" s="20" t="s">
        <x:v>48</x:v>
      </x:c>
      <x:c r="F34" s="18">
        <x:v>60622</x:v>
      </x:c>
      <x:c r="G34" s="18">
        <x:v>41106</x:v>
      </x:c>
      <x:c r="H34" s="21">
        <x:v>0.40833333333333333</x:v>
      </x:c>
      <x:c r="I34" s="20">
        <x:v>3</x:v>
      </x:c>
      <x:c r="J34" s="20">
        <x:v>4</x:v>
      </x:c>
      <x:c r="K34" s="10">
        <x:v>0</x:v>
      </x:c>
      <x:c r="L34" s="10">
        <x:v>0</x:v>
      </x:c>
      <x:c r="M34" s="10">
        <x:v>0</x:v>
      </x:c>
      <x:c r="N34" s="10">
        <x:f t="shared" si="3"/>
        <x:v>0</x:v>
      </x:c>
      <x:c r="O34" s="10">
        <x:v>0</x:v>
      </x:c>
      <x:c r="P34" s="10">
        <x:v>0</x:v>
      </x:c>
      <x:c r="Q34" s="20" t="s">
        <x:v>43</x:v>
      </x:c>
      <x:c r="R34"/>
    </x:row>
    <x:row r="35" s="16" customFormat="1">
      <x:c r="A35"/>
      <x:c r="B35" s="20"/>
      <x:c r="C35" s="18" t="s">
        <x:v>47</x:v>
      </x:c>
      <x:c r="D35" s="19" t="str">
        <x:f t="shared" si="2"/>
        <x:v>SD 0.5 x5N(E) </x:v>
      </x:c>
      <x:c r="E35" s="20" t="s">
        <x:v>48</x:v>
      </x:c>
      <x:c r="F35" s="18">
        <x:v>60622</x:v>
      </x:c>
      <x:c r="G35" s="18">
        <x:v>41106</x:v>
      </x:c>
      <x:c r="H35" s="21">
        <x:v>0.40833333333333333</x:v>
      </x:c>
      <x:c r="I35" s="20">
        <x:v>6</x:v>
      </x:c>
      <x:c r="J35" s="20">
        <x:v>5</x:v>
      </x:c>
      <x:c r="K35" s="10">
        <x:v>0</x:v>
      </x:c>
      <x:c r="L35" s="10">
        <x:v>0</x:v>
      </x:c>
      <x:c r="M35" s="10">
        <x:v>0</x:v>
      </x:c>
      <x:c r="N35" s="10">
        <x:f t="shared" si="3"/>
        <x:v>0</x:v>
      </x:c>
      <x:c r="O35" s="10">
        <x:v>0</x:v>
      </x:c>
      <x:c r="P35" s="10">
        <x:v>0</x:v>
      </x:c>
      <x:c r="Q35" s="20" t="s">
        <x:v>43</x:v>
      </x:c>
      <x:c r="R35"/>
    </x:row>
    <x:row r="36" s="16" customFormat="1">
      <x:c r="A36"/>
      <x:c r="B36" s="20"/>
      <x:c r="C36" s="18" t="s">
        <x:v>47</x:v>
      </x:c>
      <x:c r="D36" s="19" t="str">
        <x:f t="shared" si="2"/>
        <x:v>SD 0.5 x5N(E) </x:v>
      </x:c>
      <x:c r="E36" s="20" t="s">
        <x:v>48</x:v>
      </x:c>
      <x:c r="F36" s="18">
        <x:v>60622</x:v>
      </x:c>
      <x:c r="G36" s="18">
        <x:v>41106</x:v>
      </x:c>
      <x:c r="H36" s="21">
        <x:v>0.40833333333333333</x:v>
      </x:c>
      <x:c r="I36" s="20">
        <x:v>3</x:v>
      </x:c>
      <x:c r="J36" s="20">
        <x:v>6</x:v>
      </x:c>
      <x:c r="K36" s="10">
        <x:v>0</x:v>
      </x:c>
      <x:c r="L36" s="10">
        <x:v>0</x:v>
      </x:c>
      <x:c r="M36" s="10">
        <x:v>0</x:v>
      </x:c>
      <x:c r="N36" s="10">
        <x:f t="shared" si="3"/>
        <x:v>0</x:v>
      </x:c>
      <x:c r="O36" s="10">
        <x:v>0</x:v>
      </x:c>
      <x:c r="P36" s="10">
        <x:v>0</x:v>
      </x:c>
      <x:c r="Q36" s="20" t="s">
        <x:v>43</x:v>
      </x:c>
      <x:c r="R36"/>
    </x:row>
    <x:row r="37" s="16" customFormat="1">
      <x:c r="A37"/>
      <x:c r="B37" s="18"/>
      <x:c r="C37" s="18" t="s">
        <x:v>47</x:v>
      </x:c>
      <x:c r="D37" s="19" t="str">
        <x:f t="shared" si="2"/>
        <x:v>SD 0.5 x5N(E) </x:v>
      </x:c>
      <x:c r="E37" s="20" t="s">
        <x:v>48</x:v>
      </x:c>
      <x:c r="F37" s="18">
        <x:v>60622</x:v>
      </x:c>
      <x:c r="G37" s="18">
        <x:v>41106</x:v>
      </x:c>
      <x:c r="H37" s="21">
        <x:v>0.40833333333333333</x:v>
      </x:c>
      <x:c r="I37" s="20">
        <x:v>6</x:v>
      </x:c>
      <x:c r="J37" s="20">
        <x:v>7</x:v>
      </x:c>
      <x:c r="K37" s="10">
        <x:v>0</x:v>
      </x:c>
      <x:c r="L37" s="10">
        <x:v>0</x:v>
      </x:c>
      <x:c r="M37" s="10">
        <x:v>0</x:v>
      </x:c>
      <x:c r="N37" s="10">
        <x:f t="shared" si="3"/>
        <x:v>0</x:v>
      </x:c>
      <x:c r="O37" s="10">
        <x:v>0</x:v>
      </x:c>
      <x:c r="P37" s="10">
        <x:v>0</x:v>
      </x:c>
      <x:c r="Q37" s="20" t="s">
        <x:v>43</x:v>
      </x:c>
      <x:c r="R37"/>
    </x:row>
    <x:row r="38" s="16" customFormat="1">
      <x:c r="A38"/>
      <x:c r="B38" s="18"/>
      <x:c r="C38" s="18" t="s">
        <x:v>47</x:v>
      </x:c>
      <x:c r="D38" s="19" t="str">
        <x:f t="shared" si="2"/>
        <x:v>SD 0.5 x5N(E) </x:v>
      </x:c>
      <x:c r="E38" s="20" t="s">
        <x:v>48</x:v>
      </x:c>
      <x:c r="F38" s="18">
        <x:v>60622</x:v>
      </x:c>
      <x:c r="G38" s="18">
        <x:v>41106</x:v>
      </x:c>
      <x:c r="H38" s="21">
        <x:v>0.40833333333333333</x:v>
      </x:c>
      <x:c r="I38" s="20">
        <x:v>3</x:v>
      </x:c>
      <x:c r="J38" s="20">
        <x:v>8</x:v>
      </x:c>
      <x:c r="K38" s="10">
        <x:v>1</x:v>
      </x:c>
      <x:c r="L38" s="10">
        <x:v>0</x:v>
      </x:c>
      <x:c r="M38" s="10">
        <x:v>0</x:v>
      </x:c>
      <x:c r="N38" s="10">
        <x:f t="shared" si="3"/>
        <x:v>0</x:v>
      </x:c>
      <x:c r="O38" s="10">
        <x:v>3</x:v>
      </x:c>
      <x:c r="P38" s="10">
        <x:v>0</x:v>
      </x:c>
      <x:c r="Q38" s="20" t="s">
        <x:v>43</x:v>
      </x:c>
      <x:c r="R38"/>
    </x:row>
    <x:row r="39" s="16" customFormat="1">
      <x:c r="A39"/>
      <x:c r="B39" s="18"/>
      <x:c r="C39" s="18" t="s">
        <x:v>47</x:v>
      </x:c>
      <x:c r="D39" s="19" t="str">
        <x:f t="shared" si="2"/>
        <x:v>SD 0.5 x5N(E) </x:v>
      </x:c>
      <x:c r="E39" s="20" t="s">
        <x:v>48</x:v>
      </x:c>
      <x:c r="F39" s="18">
        <x:v>60622</x:v>
      </x:c>
      <x:c r="G39" s="18">
        <x:v>41106</x:v>
      </x:c>
      <x:c r="H39" s="21">
        <x:v>0.40833333333333333</x:v>
      </x:c>
      <x:c r="I39" s="20">
        <x:v>6</x:v>
      </x:c>
      <x:c r="J39" s="20">
        <x:v>9</x:v>
      </x:c>
      <x:c r="K39" s="10">
        <x:v>0</x:v>
      </x:c>
      <x:c r="L39" s="10">
        <x:v>0</x:v>
      </x:c>
      <x:c r="M39" s="10">
        <x:v>8</x:v>
      </x:c>
      <x:c r="N39" s="10">
        <x:f t="shared" si="3"/>
        <x:v>8</x:v>
      </x:c>
      <x:c r="O39" s="10">
        <x:v>0</x:v>
      </x:c>
      <x:c r="P39" s="10">
        <x:v>0</x:v>
      </x:c>
      <x:c r="Q39" s="20" t="s">
        <x:v>43</x:v>
      </x:c>
      <x:c r="R39"/>
    </x:row>
    <x:row r="40" s="16" customFormat="1">
      <x:c r="A40"/>
      <x:c r="B40" s="20"/>
      <x:c r="C40" s="18" t="s">
        <x:v>47</x:v>
      </x:c>
      <x:c r="D40" s="19" t="str">
        <x:f t="shared" si="2"/>
        <x:v>SD 0.5 x5N(E) </x:v>
      </x:c>
      <x:c r="E40" s="20" t="s">
        <x:v>48</x:v>
      </x:c>
      <x:c r="F40" s="18">
        <x:v>60622</x:v>
      </x:c>
      <x:c r="G40" s="18">
        <x:v>41106</x:v>
      </x:c>
      <x:c r="H40" s="21">
        <x:v>0.40833333333333333</x:v>
      </x:c>
      <x:c r="I40" s="20">
        <x:v>3</x:v>
      </x:c>
      <x:c r="J40" s="20">
        <x:v>10</x:v>
      </x:c>
      <x:c r="K40" s="10">
        <x:v>0</x:v>
      </x:c>
      <x:c r="L40" s="10">
        <x:v>0</x:v>
      </x:c>
      <x:c r="M40" s="10">
        <x:v>0</x:v>
      </x:c>
      <x:c r="N40" s="10">
        <x:f t="shared" si="3"/>
        <x:v>0</x:v>
      </x:c>
      <x:c r="O40" s="10">
        <x:v>0</x:v>
      </x:c>
      <x:c r="P40" s="10">
        <x:v>0</x:v>
      </x:c>
      <x:c r="Q40" s="20" t="s">
        <x:v>43</x:v>
      </x:c>
      <x:c r="R40"/>
    </x:row>
    <x:row r="41" s="16" customFormat="1">
      <x:c r="A41"/>
      <x:c r="B41" s="20"/>
      <x:c r="C41" s="18" t="s">
        <x:v>47</x:v>
      </x:c>
      <x:c r="D41" s="19" t="str">
        <x:f t="shared" si="2"/>
        <x:v>SD 0.5 x5N(E) </x:v>
      </x:c>
      <x:c r="E41" s="20" t="s">
        <x:v>48</x:v>
      </x:c>
      <x:c r="F41" s="18">
        <x:v>60622</x:v>
      </x:c>
      <x:c r="G41" s="18">
        <x:v>41106</x:v>
      </x:c>
      <x:c r="H41" s="21">
        <x:v>0.40833333333333333</x:v>
      </x:c>
      <x:c r="I41" s="20">
        <x:v>3</x:v>
      </x:c>
      <x:c r="J41" s="20">
        <x:v>11</x:v>
      </x:c>
      <x:c r="K41" s="10">
        <x:v>0</x:v>
      </x:c>
      <x:c r="L41" s="10">
        <x:v>0</x:v>
      </x:c>
      <x:c r="M41" s="10">
        <x:v>0</x:v>
      </x:c>
      <x:c r="N41" s="10">
        <x:f t="shared" si="3"/>
        <x:v>0</x:v>
      </x:c>
      <x:c r="O41" s="10">
        <x:v>1</x:v>
      </x:c>
      <x:c r="P41" s="10">
        <x:v>0</x:v>
      </x:c>
      <x:c r="Q41" s="20" t="s">
        <x:v>43</x:v>
      </x:c>
      <x:c r="R41"/>
    </x:row>
    <x:row r="42" s="16" customFormat="1">
      <x:c r="A42"/>
      <x:c r="B42" s="20"/>
      <x:c r="C42" s="18" t="s">
        <x:v>47</x:v>
      </x:c>
      <x:c r="D42" s="19" t="str">
        <x:f t="shared" si="2"/>
        <x:v>SD 0.5 x5N(E) </x:v>
      </x:c>
      <x:c r="E42" s="20" t="s">
        <x:v>48</x:v>
      </x:c>
      <x:c r="F42" s="18">
        <x:v>60622</x:v>
      </x:c>
      <x:c r="G42" s="18">
        <x:v>41106</x:v>
      </x:c>
      <x:c r="H42" s="21">
        <x:v>0.40833333333333333</x:v>
      </x:c>
      <x:c r="I42" s="20">
        <x:v>6</x:v>
      </x:c>
      <x:c r="J42" s="20">
        <x:v>12</x:v>
      </x:c>
      <x:c r="K42" s="10">
        <x:v>0</x:v>
      </x:c>
      <x:c r="L42" s="10">
        <x:v>0</x:v>
      </x:c>
      <x:c r="M42" s="10">
        <x:v>16</x:v>
      </x:c>
      <x:c r="N42" s="10">
        <x:f t="shared" si="3"/>
        <x:v>16</x:v>
      </x:c>
      <x:c r="O42" s="10">
        <x:v>0</x:v>
      </x:c>
      <x:c r="P42" s="10">
        <x:v>0</x:v>
      </x:c>
      <x:c r="Q42" s="20" t="s">
        <x:v>43</x:v>
      </x:c>
      <x:c r="R42"/>
    </x:row>
    <x:row r="43" s="16" customFormat="1">
      <x:c r="A43"/>
      <x:c r="B43" s="20"/>
      <x:c r="C43" s="18" t="s">
        <x:v>47</x:v>
      </x:c>
      <x:c r="D43" s="19" t="str">
        <x:f t="shared" si="2"/>
        <x:v>SD 0.5 x5N(E) </x:v>
      </x:c>
      <x:c r="E43" s="20" t="s">
        <x:v>48</x:v>
      </x:c>
      <x:c r="F43" s="18">
        <x:v>60622</x:v>
      </x:c>
      <x:c r="G43" s="18">
        <x:v>41106</x:v>
      </x:c>
      <x:c r="H43" s="21">
        <x:v>0.40833333333333333</x:v>
      </x:c>
      <x:c r="I43" s="20">
        <x:v>3</x:v>
      </x:c>
      <x:c r="J43" s="20">
        <x:v>13</x:v>
      </x:c>
      <x:c r="K43" s="10">
        <x:v>0</x:v>
      </x:c>
      <x:c r="L43" s="10">
        <x:v>0</x:v>
      </x:c>
      <x:c r="M43" s="10">
        <x:v>0</x:v>
      </x:c>
      <x:c r="N43" s="10">
        <x:f t="shared" si="3"/>
        <x:v>0</x:v>
      </x:c>
      <x:c r="O43" s="10">
        <x:v>0</x:v>
      </x:c>
      <x:c r="P43" s="10">
        <x:v>0</x:v>
      </x:c>
      <x:c r="Q43" s="20" t="s">
        <x:v>43</x:v>
      </x:c>
      <x:c r="R43"/>
    </x:row>
    <x:row r="44" s="16" customFormat="1">
      <x:c r="A44"/>
      <x:c r="B44" s="20"/>
      <x:c r="C44" s="18" t="s">
        <x:v>47</x:v>
      </x:c>
      <x:c r="D44" s="19" t="str">
        <x:f t="shared" si="2"/>
        <x:v>SD 0.5 x5N(E) </x:v>
      </x:c>
      <x:c r="E44" s="20" t="s">
        <x:v>48</x:v>
      </x:c>
      <x:c r="F44" s="18">
        <x:v>60622</x:v>
      </x:c>
      <x:c r="G44" s="18">
        <x:v>41106</x:v>
      </x:c>
      <x:c r="H44" s="21">
        <x:v>0.40833333333333333</x:v>
      </x:c>
      <x:c r="I44" s="20">
        <x:v>6</x:v>
      </x:c>
      <x:c r="J44" s="20">
        <x:v>14</x:v>
      </x:c>
      <x:c r="K44" s="10">
        <x:v>0</x:v>
      </x:c>
      <x:c r="L44" s="10">
        <x:v>0</x:v>
      </x:c>
      <x:c r="M44" s="10">
        <x:v>0</x:v>
      </x:c>
      <x:c r="N44" s="10">
        <x:f t="shared" si="3"/>
        <x:v>0</x:v>
      </x:c>
      <x:c r="O44" s="10">
        <x:v>0</x:v>
      </x:c>
      <x:c r="P44" s="10">
        <x:v>0</x:v>
      </x:c>
      <x:c r="Q44" s="20" t="s">
        <x:v>43</x:v>
      </x:c>
      <x:c r="R44"/>
    </x:row>
    <x:row r="45" s="16" customFormat="1">
      <x:c r="A45"/>
      <x:c r="B45" s="20"/>
      <x:c r="C45" s="18" t="s">
        <x:v>47</x:v>
      </x:c>
      <x:c r="D45" s="19" t="str">
        <x:f t="shared" si="2"/>
        <x:v>SD 0.5 x5N(E) </x:v>
      </x:c>
      <x:c r="E45" s="20" t="s">
        <x:v>48</x:v>
      </x:c>
      <x:c r="F45" s="18">
        <x:v>60622</x:v>
      </x:c>
      <x:c r="G45" s="18">
        <x:v>41106</x:v>
      </x:c>
      <x:c r="H45" s="21">
        <x:v>0.40833333333333333</x:v>
      </x:c>
      <x:c r="I45" s="20">
        <x:v>3</x:v>
      </x:c>
      <x:c r="J45" s="20">
        <x:v>15</x:v>
      </x:c>
      <x:c r="K45" s="10">
        <x:v>0</x:v>
      </x:c>
      <x:c r="L45" s="10">
        <x:v>0</x:v>
      </x:c>
      <x:c r="M45" s="10">
        <x:v>0</x:v>
      </x:c>
      <x:c r="N45" s="10">
        <x:f t="shared" si="3"/>
        <x:v>0</x:v>
      </x:c>
      <x:c r="O45" s="10">
        <x:v>0</x:v>
      </x:c>
      <x:c r="P45" s="10">
        <x:v>0</x:v>
      </x:c>
      <x:c r="Q45" s="20" t="s">
        <x:v>43</x:v>
      </x:c>
      <x:c r="R45"/>
    </x:row>
    <x:row r="46" s="16" customFormat="1">
      <x:c r="A46"/>
      <x:c r="F46" s="22"/>
      <x:c r="H46" s="23"/>
      <x:c r="I46" s="23"/>
      <x:c r="J46" s="23"/>
      <x:c r="K46" s="24"/>
      <x:c r="L46" s="24"/>
      <x:c r="M46" s="24"/>
      <x:c r="N46" s="24"/>
      <x:c r="O46" s="24"/>
      <x:c r="P46" s="24"/>
      <x:c r="R46"/>
    </x:row>
    <x:row r="47" s="16" customFormat="1">
      <x:c r="A47"/>
      <x:c r="F47" s="22"/>
      <x:c r="H47" s="23"/>
      <x:c r="I47" s="23"/>
      <x:c r="J47" s="23"/>
      <x:c r="K47" s="24"/>
      <x:c r="L47" s="24"/>
      <x:c r="M47" s="24"/>
      <x:c r="N47" s="24"/>
      <x:c r="O47" s="24"/>
      <x:c r="P47" s="24"/>
      <x:c r="R47"/>
    </x:row>
    <x:row r="48" s="16" customFormat="1">
      <x:c r="A48"/>
      <x:c r="F48" s="22"/>
      <x:c r="H48" s="23"/>
      <x:c r="I48" s="23"/>
      <x:c r="J48" s="23"/>
      <x:c r="K48" s="24"/>
      <x:c r="L48" s="24"/>
      <x:c r="M48" s="24"/>
      <x:c r="N48" s="24"/>
      <x:c r="O48" s="24"/>
      <x:c r="P48" s="24"/>
      <x:c r="R48"/>
    </x:row>
    <x:row r="49" s="16" customFormat="1" ht="14.550000190734863" customHeight="1">
      <x:c r="A49"/>
      <x:c r="B49" s="57" t="s">
        <x:v>20</x:v>
      </x:c>
      <x:c r="C49" s="57" t="s">
        <x:v>21</x:v>
      </x:c>
      <x:c r="D49" s="56" t="s">
        <x:v>22</x:v>
      </x:c>
      <x:c r="E49" s="9" t="s">
        <x:v>23</x:v>
      </x:c>
      <x:c r="F49" s="14" t="s">
        <x:v>24</x:v>
      </x:c>
      <x:c r="G49" s="9" t="s">
        <x:v>24</x:v>
      </x:c>
      <x:c r="H49" s="58" t="s">
        <x:v>25</x:v>
      </x:c>
      <x:c r="I49" s="15"/>
      <x:c r="J49" s="15"/>
      <x:c r="K49" s="59" t="s">
        <x:v>26</x:v>
      </x:c>
      <x:c r="L49" s="59"/>
      <x:c r="M49" s="59"/>
      <x:c r="N49" s="59"/>
      <x:c r="O49" s="59"/>
      <x:c r="P49" s="59"/>
      <x:c r="Q49" s="56" t="s">
        <x:v>27</x:v>
      </x:c>
      <x:c r="R49"/>
    </x:row>
    <x:row r="50" s="16" customFormat="1" ht="28.799999237060547">
      <x:c r="A50"/>
      <x:c r="B50" s="56"/>
      <x:c r="C50" s="56"/>
      <x:c r="D50" s="56"/>
      <x:c r="E50" s="7" t="s">
        <x:v>28</x:v>
      </x:c>
      <x:c r="F50" s="8" t="s">
        <x:v>29</x:v>
      </x:c>
      <x:c r="G50" s="8" t="s">
        <x:v>30</x:v>
      </x:c>
      <x:c r="H50" s="58"/>
      <x:c r="I50" s="15" t="s">
        <x:v>31</x:v>
      </x:c>
      <x:c r="J50" s="15" t="s">
        <x:v>32</x:v>
      </x:c>
      <x:c r="K50" s="17" t="s">
        <x:v>33</x:v>
      </x:c>
      <x:c r="L50" s="17" t="s">
        <x:v>34</x:v>
      </x:c>
      <x:c r="M50" s="17" t="s">
        <x:v>35</x:v>
      </x:c>
      <x:c r="N50" s="17" t="s">
        <x:v>36</x:v>
      </x:c>
      <x:c r="O50" s="17" t="s">
        <x:v>10</x:v>
      </x:c>
      <x:c r="P50" s="17" t="s">
        <x:v>37</x:v>
      </x:c>
      <x:c r="Q50" s="56"/>
      <x:c r="R50"/>
    </x:row>
    <x:row r="51" s="16" customFormat="1">
      <x:c r="A51"/>
      <x:c r="B51" s="18" t="s">
        <x:v>38</x:v>
      </x:c>
      <x:c r="C51" s="18" t="s">
        <x:v>47</x:v>
      </x:c>
      <x:c r="D51" s="19" t="str">
        <x:f t="shared" ref="D51:D65" si="4">$B$1</x:f>
        <x:v>SD 0.5 x5N(E) </x:v>
      </x:c>
      <x:c r="E51" s="20" t="s">
        <x:v>48</x:v>
      </x:c>
      <x:c r="F51" s="18">
        <x:v>60622</x:v>
      </x:c>
      <x:c r="G51" s="18">
        <x:v>41106</x:v>
      </x:c>
      <x:c r="H51" s="21">
        <x:v>0.40833333333333333</x:v>
      </x:c>
      <x:c r="I51" s="20">
        <x:v>6</x:v>
      </x:c>
      <x:c r="J51" s="20">
        <x:v>1</x:v>
      </x:c>
      <x:c r="K51" s="10">
        <x:v>0</x:v>
      </x:c>
      <x:c r="L51" s="10">
        <x:v>0</x:v>
      </x:c>
      <x:c r="M51" s="10">
        <x:v>0</x:v>
      </x:c>
      <x:c r="N51" s="10" t="n">
        <x:f>L51+M51</x:f>
        <x:v>0</x:v>
      </x:c>
      <x:c r="O51" s="10">
        <x:v>0</x:v>
      </x:c>
      <x:c r="P51" s="10">
        <x:v>0</x:v>
      </x:c>
      <x:c r="Q51" s="20" t="s">
        <x:v>44</x:v>
      </x:c>
      <x:c r="R51"/>
    </x:row>
    <x:row r="52" s="16" customFormat="1">
      <x:c r="A52"/>
      <x:c r="B52" s="18"/>
      <x:c r="C52" s="18" t="s">
        <x:v>47</x:v>
      </x:c>
      <x:c r="D52" s="19" t="str">
        <x:f t="shared" si="4"/>
        <x:v>SD 0.5 x5N(E) </x:v>
      </x:c>
      <x:c r="E52" s="20" t="s">
        <x:v>48</x:v>
      </x:c>
      <x:c r="F52" s="18">
        <x:v>60622</x:v>
      </x:c>
      <x:c r="G52" s="18">
        <x:v>41106</x:v>
      </x:c>
      <x:c r="H52" s="21">
        <x:v>0.40833333333333333</x:v>
      </x:c>
      <x:c r="I52" s="20">
        <x:v>3</x:v>
      </x:c>
      <x:c r="J52" s="20">
        <x:v>2</x:v>
      </x:c>
      <x:c r="K52" s="10">
        <x:v>0</x:v>
      </x:c>
      <x:c r="L52" s="10">
        <x:v>0</x:v>
      </x:c>
      <x:c r="M52" s="10">
        <x:v>0</x:v>
      </x:c>
      <x:c r="N52" s="10" t="n">
        <x:f>L52+M52</x:f>
        <x:v>0</x:v>
      </x:c>
      <x:c r="O52" s="10">
        <x:v>0</x:v>
      </x:c>
      <x:c r="P52" s="10">
        <x:v>0</x:v>
      </x:c>
      <x:c r="Q52" s="20" t="s">
        <x:v>44</x:v>
      </x:c>
      <x:c r="R52"/>
    </x:row>
    <x:row r="53" s="16" customFormat="1">
      <x:c r="A53"/>
      <x:c r="B53" s="18"/>
      <x:c r="C53" s="18" t="s">
        <x:v>47</x:v>
      </x:c>
      <x:c r="D53" s="19" t="str">
        <x:f t="shared" si="4"/>
        <x:v>SD 0.5 x5N(E) </x:v>
      </x:c>
      <x:c r="E53" s="20" t="s">
        <x:v>48</x:v>
      </x:c>
      <x:c r="F53" s="18">
        <x:v>60622</x:v>
      </x:c>
      <x:c r="G53" s="18">
        <x:v>41106</x:v>
      </x:c>
      <x:c r="H53" s="21">
        <x:v>0.40833333333333333</x:v>
      </x:c>
      <x:c r="I53" s="20">
        <x:v>6</x:v>
      </x:c>
      <x:c r="J53" s="20">
        <x:v>3</x:v>
      </x:c>
      <x:c r="K53" s="10">
        <x:v>0</x:v>
      </x:c>
      <x:c r="L53" s="10">
        <x:v>0</x:v>
      </x:c>
      <x:c r="M53" s="10">
        <x:v>0</x:v>
      </x:c>
      <x:c r="N53" s="10" t="n">
        <x:f t="shared" ref="N53:N65" si="5">L53+M53</x:f>
        <x:v>0</x:v>
      </x:c>
      <x:c r="O53" s="10">
        <x:v>0</x:v>
      </x:c>
      <x:c r="P53" s="10">
        <x:v>0</x:v>
      </x:c>
      <x:c r="Q53" s="20" t="s">
        <x:v>44</x:v>
      </x:c>
      <x:c r="R53"/>
    </x:row>
    <x:row r="54" s="16" customFormat="1">
      <x:c r="A54"/>
      <x:c r="B54" s="20"/>
      <x:c r="C54" s="18" t="s">
        <x:v>47</x:v>
      </x:c>
      <x:c r="D54" s="19" t="str">
        <x:f t="shared" si="4"/>
        <x:v>SD 0.5 x5N(E) </x:v>
      </x:c>
      <x:c r="E54" s="20" t="s">
        <x:v>48</x:v>
      </x:c>
      <x:c r="F54" s="18">
        <x:v>60622</x:v>
      </x:c>
      <x:c r="G54" s="18">
        <x:v>41106</x:v>
      </x:c>
      <x:c r="H54" s="21">
        <x:v>0.40833333333333333</x:v>
      </x:c>
      <x:c r="I54" s="20">
        <x:v>3</x:v>
      </x:c>
      <x:c r="J54" s="20">
        <x:v>4</x:v>
      </x:c>
      <x:c r="K54" s="10">
        <x:v>0</x:v>
      </x:c>
      <x:c r="L54" s="10">
        <x:v>0</x:v>
      </x:c>
      <x:c r="M54" s="10">
        <x:v>0</x:v>
      </x:c>
      <x:c r="N54" s="10">
        <x:f t="shared" si="5"/>
        <x:v>0</x:v>
      </x:c>
      <x:c r="O54" s="10">
        <x:v>0</x:v>
      </x:c>
      <x:c r="P54" s="10">
        <x:v>0</x:v>
      </x:c>
      <x:c r="Q54" s="20" t="s">
        <x:v>44</x:v>
      </x:c>
      <x:c r="R54"/>
    </x:row>
    <x:row r="55" s="16" customFormat="1">
      <x:c r="A55"/>
      <x:c r="B55" s="20"/>
      <x:c r="C55" s="18" t="s">
        <x:v>47</x:v>
      </x:c>
      <x:c r="D55" s="19" t="str">
        <x:f t="shared" si="4"/>
        <x:v>SD 0.5 x5N(E) </x:v>
      </x:c>
      <x:c r="E55" s="20" t="s">
        <x:v>48</x:v>
      </x:c>
      <x:c r="F55" s="18">
        <x:v>60622</x:v>
      </x:c>
      <x:c r="G55" s="18">
        <x:v>41106</x:v>
      </x:c>
      <x:c r="H55" s="21">
        <x:v>0.40833333333333333</x:v>
      </x:c>
      <x:c r="I55" s="20">
        <x:v>6</x:v>
      </x:c>
      <x:c r="J55" s="20">
        <x:v>5</x:v>
      </x:c>
      <x:c r="K55" s="10">
        <x:v>0</x:v>
      </x:c>
      <x:c r="L55" s="10">
        <x:v>0</x:v>
      </x:c>
      <x:c r="M55" s="10">
        <x:v>0</x:v>
      </x:c>
      <x:c r="N55" s="10">
        <x:f t="shared" si="5"/>
        <x:v>0</x:v>
      </x:c>
      <x:c r="O55" s="10">
        <x:v>0</x:v>
      </x:c>
      <x:c r="P55" s="10">
        <x:v>0</x:v>
      </x:c>
      <x:c r="Q55" s="20" t="s">
        <x:v>44</x:v>
      </x:c>
      <x:c r="R55"/>
    </x:row>
    <x:row r="56" s="16" customFormat="1">
      <x:c r="A56"/>
      <x:c r="B56" s="20"/>
      <x:c r="C56" s="18" t="s">
        <x:v>47</x:v>
      </x:c>
      <x:c r="D56" s="19" t="str">
        <x:f t="shared" si="4"/>
        <x:v>SD 0.5 x5N(E) </x:v>
      </x:c>
      <x:c r="E56" s="20" t="s">
        <x:v>48</x:v>
      </x:c>
      <x:c r="F56" s="18">
        <x:v>60622</x:v>
      </x:c>
      <x:c r="G56" s="18">
        <x:v>41106</x:v>
      </x:c>
      <x:c r="H56" s="21">
        <x:v>0.40833333333333333</x:v>
      </x:c>
      <x:c r="I56" s="20">
        <x:v>3</x:v>
      </x:c>
      <x:c r="J56" s="20">
        <x:v>6</x:v>
      </x:c>
      <x:c r="K56" s="10">
        <x:v>0</x:v>
      </x:c>
      <x:c r="L56" s="10">
        <x:v>0</x:v>
      </x:c>
      <x:c r="M56" s="10">
        <x:v>0</x:v>
      </x:c>
      <x:c r="N56" s="10">
        <x:f t="shared" si="5"/>
        <x:v>0</x:v>
      </x:c>
      <x:c r="O56" s="10">
        <x:v>0</x:v>
      </x:c>
      <x:c r="P56" s="10">
        <x:v>0</x:v>
      </x:c>
      <x:c r="Q56" s="20" t="s">
        <x:v>44</x:v>
      </x:c>
      <x:c r="R56"/>
    </x:row>
    <x:row r="57" s="16" customFormat="1">
      <x:c r="A57"/>
      <x:c r="B57" s="18"/>
      <x:c r="C57" s="18" t="s">
        <x:v>47</x:v>
      </x:c>
      <x:c r="D57" s="19" t="str">
        <x:f t="shared" si="4"/>
        <x:v>SD 0.5 x5N(E) </x:v>
      </x:c>
      <x:c r="E57" s="20" t="s">
        <x:v>48</x:v>
      </x:c>
      <x:c r="F57" s="18">
        <x:v>60622</x:v>
      </x:c>
      <x:c r="G57" s="18">
        <x:v>41106</x:v>
      </x:c>
      <x:c r="H57" s="21">
        <x:v>0.40833333333333333</x:v>
      </x:c>
      <x:c r="I57" s="20">
        <x:v>6</x:v>
      </x:c>
      <x:c r="J57" s="20">
        <x:v>7</x:v>
      </x:c>
      <x:c r="K57" s="10">
        <x:v>0</x:v>
      </x:c>
      <x:c r="L57" s="10">
        <x:v>0</x:v>
      </x:c>
      <x:c r="M57" s="10">
        <x:v>0</x:v>
      </x:c>
      <x:c r="N57" s="10">
        <x:f t="shared" si="5"/>
        <x:v>0</x:v>
      </x:c>
      <x:c r="O57" s="10">
        <x:v>0</x:v>
      </x:c>
      <x:c r="P57" s="10">
        <x:v>0</x:v>
      </x:c>
      <x:c r="Q57" s="20" t="s">
        <x:v>44</x:v>
      </x:c>
      <x:c r="R57"/>
    </x:row>
    <x:row r="58" s="16" customFormat="1">
      <x:c r="A58"/>
      <x:c r="B58" s="18"/>
      <x:c r="C58" s="18" t="s">
        <x:v>47</x:v>
      </x:c>
      <x:c r="D58" s="19" t="str">
        <x:f t="shared" si="4"/>
        <x:v>SD 0.5 x5N(E) </x:v>
      </x:c>
      <x:c r="E58" s="20" t="s">
        <x:v>48</x:v>
      </x:c>
      <x:c r="F58" s="18">
        <x:v>60622</x:v>
      </x:c>
      <x:c r="G58" s="18">
        <x:v>41106</x:v>
      </x:c>
      <x:c r="H58" s="21">
        <x:v>0.40833333333333333</x:v>
      </x:c>
      <x:c r="I58" s="20">
        <x:v>3</x:v>
      </x:c>
      <x:c r="J58" s="20">
        <x:v>8</x:v>
      </x:c>
      <x:c r="K58" s="10">
        <x:v>0</x:v>
      </x:c>
      <x:c r="L58" s="10">
        <x:v>0</x:v>
      </x:c>
      <x:c r="M58" s="10">
        <x:v>0</x:v>
      </x:c>
      <x:c r="N58" s="10">
        <x:f t="shared" si="5"/>
        <x:v>0</x:v>
      </x:c>
      <x:c r="O58" s="10">
        <x:v>0</x:v>
      </x:c>
      <x:c r="P58" s="10">
        <x:v>0</x:v>
      </x:c>
      <x:c r="Q58" s="20" t="s">
        <x:v>44</x:v>
      </x:c>
      <x:c r="R58"/>
    </x:row>
    <x:row r="59" s="16" customFormat="1">
      <x:c r="A59"/>
      <x:c r="B59" s="18"/>
      <x:c r="C59" s="18" t="s">
        <x:v>47</x:v>
      </x:c>
      <x:c r="D59" s="19" t="str">
        <x:f t="shared" si="4"/>
        <x:v>SD 0.5 x5N(E) </x:v>
      </x:c>
      <x:c r="E59" s="20" t="s">
        <x:v>48</x:v>
      </x:c>
      <x:c r="F59" s="18">
        <x:v>60622</x:v>
      </x:c>
      <x:c r="G59" s="18">
        <x:v>41106</x:v>
      </x:c>
      <x:c r="H59" s="21">
        <x:v>0.40833333333333333</x:v>
      </x:c>
      <x:c r="I59" s="20">
        <x:v>3</x:v>
      </x:c>
      <x:c r="J59" s="20">
        <x:v>9</x:v>
      </x:c>
      <x:c r="K59" s="10">
        <x:v>0</x:v>
      </x:c>
      <x:c r="L59" s="10">
        <x:v>0</x:v>
      </x:c>
      <x:c r="M59" s="10">
        <x:v>0</x:v>
      </x:c>
      <x:c r="N59" s="10">
        <x:f t="shared" si="5"/>
        <x:v>0</x:v>
      </x:c>
      <x:c r="O59" s="10">
        <x:v>0</x:v>
      </x:c>
      <x:c r="P59" s="10">
        <x:v>0</x:v>
      </x:c>
      <x:c r="Q59" s="20" t="s">
        <x:v>44</x:v>
      </x:c>
      <x:c r="R59"/>
    </x:row>
    <x:row r="60" s="16" customFormat="1">
      <x:c r="A60"/>
      <x:c r="B60" s="20"/>
      <x:c r="C60" s="18" t="s">
        <x:v>47</x:v>
      </x:c>
      <x:c r="D60" s="19" t="str">
        <x:f t="shared" si="4"/>
        <x:v>SD 0.5 x5N(E) </x:v>
      </x:c>
      <x:c r="E60" s="20" t="s">
        <x:v>48</x:v>
      </x:c>
      <x:c r="F60" s="18">
        <x:v>60622</x:v>
      </x:c>
      <x:c r="G60" s="18">
        <x:v>41106</x:v>
      </x:c>
      <x:c r="H60" s="21">
        <x:v>0.40833333333333333</x:v>
      </x:c>
      <x:c r="I60" s="20">
        <x:v>6</x:v>
      </x:c>
      <x:c r="J60" s="20">
        <x:v>10</x:v>
      </x:c>
      <x:c r="K60" s="10">
        <x:v>0</x:v>
      </x:c>
      <x:c r="L60" s="10">
        <x:v>0</x:v>
      </x:c>
      <x:c r="M60" s="10">
        <x:v>1</x:v>
      </x:c>
      <x:c r="N60" s="10">
        <x:f t="shared" si="5"/>
        <x:v>1</x:v>
      </x:c>
      <x:c r="O60" s="10">
        <x:v>0</x:v>
      </x:c>
      <x:c r="P60" s="10">
        <x:v>0</x:v>
      </x:c>
      <x:c r="Q60" s="20" t="s">
        <x:v>44</x:v>
      </x:c>
      <x:c r="R60"/>
    </x:row>
    <x:row r="61" s="16" customFormat="1">
      <x:c r="A61"/>
      <x:c r="B61" s="20"/>
      <x:c r="C61" s="18" t="s">
        <x:v>47</x:v>
      </x:c>
      <x:c r="D61" s="19" t="str">
        <x:f t="shared" si="4"/>
        <x:v>SD 0.5 x5N(E) </x:v>
      </x:c>
      <x:c r="E61" s="20" t="s">
        <x:v>48</x:v>
      </x:c>
      <x:c r="F61" s="18">
        <x:v>60622</x:v>
      </x:c>
      <x:c r="G61" s="18">
        <x:v>41106</x:v>
      </x:c>
      <x:c r="H61" s="21">
        <x:v>0.40833333333333333</x:v>
      </x:c>
      <x:c r="I61" s="20">
        <x:v>3</x:v>
      </x:c>
      <x:c r="J61" s="20">
        <x:v>11</x:v>
      </x:c>
      <x:c r="K61" s="10">
        <x:v>0</x:v>
      </x:c>
      <x:c r="L61" s="10">
        <x:v>0</x:v>
      </x:c>
      <x:c r="M61" s="10">
        <x:v>0</x:v>
      </x:c>
      <x:c r="N61" s="10">
        <x:f t="shared" si="5"/>
        <x:v>0</x:v>
      </x:c>
      <x:c r="O61" s="10">
        <x:v>0</x:v>
      </x:c>
      <x:c r="P61" s="10">
        <x:v>0</x:v>
      </x:c>
      <x:c r="Q61" s="20" t="s">
        <x:v>44</x:v>
      </x:c>
      <x:c r="R61"/>
    </x:row>
    <x:row r="62" s="16" customFormat="1">
      <x:c r="A62"/>
      <x:c r="B62" s="20"/>
      <x:c r="C62" s="18" t="s">
        <x:v>47</x:v>
      </x:c>
      <x:c r="D62" s="19" t="str">
        <x:f t="shared" si="4"/>
        <x:v>SD 0.5 x5N(E) </x:v>
      </x:c>
      <x:c r="E62" s="20" t="s">
        <x:v>48</x:v>
      </x:c>
      <x:c r="F62" s="18">
        <x:v>60622</x:v>
      </x:c>
      <x:c r="G62" s="18">
        <x:v>41106</x:v>
      </x:c>
      <x:c r="H62" s="21">
        <x:v>0.40833333333333333</x:v>
      </x:c>
      <x:c r="I62" s="20">
        <x:v>6</x:v>
      </x:c>
      <x:c r="J62" s="20">
        <x:v>12</x:v>
      </x:c>
      <x:c r="K62" s="10">
        <x:v>0</x:v>
      </x:c>
      <x:c r="L62" s="10">
        <x:v>0</x:v>
      </x:c>
      <x:c r="M62" s="10">
        <x:v>0</x:v>
      </x:c>
      <x:c r="N62" s="10">
        <x:f t="shared" si="5"/>
        <x:v>0</x:v>
      </x:c>
      <x:c r="O62" s="10">
        <x:v>0</x:v>
      </x:c>
      <x:c r="P62" s="10">
        <x:v>0</x:v>
      </x:c>
      <x:c r="Q62" s="20" t="s">
        <x:v>44</x:v>
      </x:c>
      <x:c r="R62"/>
    </x:row>
    <x:row r="63" s="16" customFormat="1">
      <x:c r="A63"/>
      <x:c r="B63" s="20"/>
      <x:c r="C63" s="18" t="s">
        <x:v>47</x:v>
      </x:c>
      <x:c r="D63" s="19" t="str">
        <x:f t="shared" si="4"/>
        <x:v>SD 0.5 x5N(E) </x:v>
      </x:c>
      <x:c r="E63" s="20" t="s">
        <x:v>48</x:v>
      </x:c>
      <x:c r="F63" s="18">
        <x:v>60622</x:v>
      </x:c>
      <x:c r="G63" s="18">
        <x:v>41106</x:v>
      </x:c>
      <x:c r="H63" s="21">
        <x:v>0.40833333333333333</x:v>
      </x:c>
      <x:c r="I63" s="20">
        <x:v>6</x:v>
      </x:c>
      <x:c r="J63" s="20">
        <x:v>13</x:v>
      </x:c>
      <x:c r="K63" s="10">
        <x:v>0</x:v>
      </x:c>
      <x:c r="L63" s="10">
        <x:v>0</x:v>
      </x:c>
      <x:c r="M63" s="10">
        <x:v>0</x:v>
      </x:c>
      <x:c r="N63" s="10">
        <x:f t="shared" si="5"/>
        <x:v>0</x:v>
      </x:c>
      <x:c r="O63" s="10">
        <x:v>0</x:v>
      </x:c>
      <x:c r="P63" s="10">
        <x:v>0</x:v>
      </x:c>
      <x:c r="Q63" s="20" t="s">
        <x:v>44</x:v>
      </x:c>
      <x:c r="R63"/>
    </x:row>
    <x:row r="64" s="16" customFormat="1">
      <x:c r="A64"/>
      <x:c r="B64" s="20"/>
      <x:c r="C64" s="18" t="s">
        <x:v>47</x:v>
      </x:c>
      <x:c r="D64" s="19" t="str">
        <x:f t="shared" si="4"/>
        <x:v>SD 0.5 x5N(E) </x:v>
      </x:c>
      <x:c r="E64" s="20" t="s">
        <x:v>48</x:v>
      </x:c>
      <x:c r="F64" s="18">
        <x:v>60622</x:v>
      </x:c>
      <x:c r="G64" s="18">
        <x:v>41106</x:v>
      </x:c>
      <x:c r="H64" s="21">
        <x:v>0.40833333333333333</x:v>
      </x:c>
      <x:c r="I64" s="20">
        <x:v>3</x:v>
      </x:c>
      <x:c r="J64" s="20">
        <x:v>14</x:v>
      </x:c>
      <x:c r="K64" s="10">
        <x:v>0</x:v>
      </x:c>
      <x:c r="L64" s="10">
        <x:v>0</x:v>
      </x:c>
      <x:c r="M64" s="10">
        <x:v>0</x:v>
      </x:c>
      <x:c r="N64" s="10">
        <x:f t="shared" si="5"/>
        <x:v>0</x:v>
      </x:c>
      <x:c r="O64" s="10">
        <x:v>0</x:v>
      </x:c>
      <x:c r="P64" s="10">
        <x:v>0</x:v>
      </x:c>
      <x:c r="Q64" s="20" t="s">
        <x:v>44</x:v>
      </x:c>
      <x:c r="R64"/>
    </x:row>
    <x:row r="65" s="16" customFormat="1">
      <x:c r="A65"/>
      <x:c r="B65" s="20"/>
      <x:c r="C65" s="18" t="s">
        <x:v>47</x:v>
      </x:c>
      <x:c r="D65" s="19" t="str">
        <x:f t="shared" si="4"/>
        <x:v>SD 0.5 x5N(E) </x:v>
      </x:c>
      <x:c r="E65" s="20" t="s">
        <x:v>48</x:v>
      </x:c>
      <x:c r="F65" s="18">
        <x:v>60622</x:v>
      </x:c>
      <x:c r="G65" s="18">
        <x:v>41106</x:v>
      </x:c>
      <x:c r="H65" s="21">
        <x:v>0.40833333333333333</x:v>
      </x:c>
      <x:c r="I65" s="20">
        <x:v>6</x:v>
      </x:c>
      <x:c r="J65" s="20">
        <x:v>15</x:v>
      </x:c>
      <x:c r="K65" s="10">
        <x:v>0</x:v>
      </x:c>
      <x:c r="L65" s="10">
        <x:v>0</x:v>
      </x:c>
      <x:c r="M65" s="10">
        <x:v>0</x:v>
      </x:c>
      <x:c r="N65" s="10">
        <x:f t="shared" si="5"/>
        <x:v>0</x:v>
      </x:c>
      <x:c r="O65" s="10">
        <x:v>0</x:v>
      </x:c>
      <x:c r="P65" s="10">
        <x:v>0</x:v>
      </x:c>
      <x:c r="Q65" s="20" t="s">
        <x:v>44</x:v>
      </x:c>
      <x:c r="R65"/>
    </x:row>
    <x:row r="66" s="16" customFormat="1">
      <x:c r="A66"/>
      <x:c r="F66" s="22"/>
      <x:c r="H66" s="23"/>
      <x:c r="I66" s="23"/>
      <x:c r="J66" s="23"/>
      <x:c r="K66" s="24"/>
      <x:c r="L66" s="24"/>
      <x:c r="M66" s="24"/>
      <x:c r="N66" s="24"/>
      <x:c r="O66" s="24"/>
      <x:c r="P66" s="24"/>
      <x:c r="R66"/>
    </x:row>
    <x:row r="67" s="16" customFormat="1">
      <x:c r="A67"/>
      <x:c r="F67" s="22"/>
      <x:c r="H67" s="23"/>
      <x:c r="I67" s="23"/>
      <x:c r="J67" s="23"/>
      <x:c r="K67" s="24"/>
      <x:c r="L67" s="24"/>
      <x:c r="M67" s="24"/>
      <x:c r="N67" s="24"/>
      <x:c r="O67" s="24"/>
      <x:c r="P67" s="24"/>
      <x:c r="R67"/>
    </x:row>
    <x:row r="68" s="16" customFormat="1" ht="14.550000190734863" customHeight="1">
      <x:c r="A68"/>
      <x:c r="B68" s="57" t="s">
        <x:v>20</x:v>
      </x:c>
      <x:c r="C68" s="57" t="s">
        <x:v>21</x:v>
      </x:c>
      <x:c r="D68" s="56" t="s">
        <x:v>22</x:v>
      </x:c>
      <x:c r="E68" s="9" t="s">
        <x:v>23</x:v>
      </x:c>
      <x:c r="F68" s="14" t="s">
        <x:v>24</x:v>
      </x:c>
      <x:c r="G68" s="9" t="s">
        <x:v>24</x:v>
      </x:c>
      <x:c r="H68" s="58" t="s">
        <x:v>25</x:v>
      </x:c>
      <x:c r="I68" s="15"/>
      <x:c r="J68" s="15"/>
      <x:c r="K68" s="59" t="s">
        <x:v>26</x:v>
      </x:c>
      <x:c r="L68" s="59"/>
      <x:c r="M68" s="59"/>
      <x:c r="N68" s="59"/>
      <x:c r="O68" s="59"/>
      <x:c r="P68" s="59"/>
      <x:c r="Q68" s="56" t="s">
        <x:v>27</x:v>
      </x:c>
      <x:c r="R68"/>
    </x:row>
    <x:row r="69" s="16" customFormat="1" ht="28.799999237060547">
      <x:c r="A69"/>
      <x:c r="B69" s="56"/>
      <x:c r="C69" s="56"/>
      <x:c r="D69" s="56"/>
      <x:c r="E69" s="7" t="s">
        <x:v>28</x:v>
      </x:c>
      <x:c r="F69" s="8" t="s">
        <x:v>29</x:v>
      </x:c>
      <x:c r="G69" s="8" t="s">
        <x:v>30</x:v>
      </x:c>
      <x:c r="H69" s="58"/>
      <x:c r="I69" s="15" t="s">
        <x:v>31</x:v>
      </x:c>
      <x:c r="J69" s="15" t="s">
        <x:v>32</x:v>
      </x:c>
      <x:c r="K69" s="17" t="s">
        <x:v>33</x:v>
      </x:c>
      <x:c r="L69" s="17" t="s">
        <x:v>34</x:v>
      </x:c>
      <x:c r="M69" s="17" t="s">
        <x:v>35</x:v>
      </x:c>
      <x:c r="N69" s="17" t="s">
        <x:v>36</x:v>
      </x:c>
      <x:c r="O69" s="17" t="s">
        <x:v>10</x:v>
      </x:c>
      <x:c r="P69" s="17" t="s">
        <x:v>37</x:v>
      </x:c>
      <x:c r="Q69" s="56"/>
      <x:c r="R69"/>
    </x:row>
    <x:row r="70" s="16" customFormat="1">
      <x:c r="A70"/>
      <x:c r="B70" s="18" t="s">
        <x:v>38</x:v>
      </x:c>
      <x:c r="C70" s="18" t="s">
        <x:v>47</x:v>
      </x:c>
      <x:c r="D70" s="19" t="str">
        <x:f t="shared" ref="D70:D84" si="6">$B$1</x:f>
        <x:v>SD 0.5 x5N(E) </x:v>
      </x:c>
      <x:c r="E70" s="20" t="s">
        <x:v>48</x:v>
      </x:c>
      <x:c r="F70" s="18">
        <x:v>60622</x:v>
      </x:c>
      <x:c r="G70" s="18">
        <x:v>41106</x:v>
      </x:c>
      <x:c r="H70" s="21">
        <x:v>0.40833333333333333</x:v>
      </x:c>
      <x:c r="I70" s="20">
        <x:v>6</x:v>
      </x:c>
      <x:c r="J70" s="20">
        <x:v>1</x:v>
      </x:c>
      <x:c r="K70" s="10">
        <x:v>0</x:v>
      </x:c>
      <x:c r="L70" s="10">
        <x:v>0</x:v>
      </x:c>
      <x:c r="M70" s="10">
        <x:v>0</x:v>
      </x:c>
      <x:c r="N70" s="10" t="n">
        <x:f t="shared" ref="N70:N84" si="7">M70+L70</x:f>
        <x:v>0</x:v>
      </x:c>
      <x:c r="O70" s="10">
        <x:v>0</x:v>
      </x:c>
      <x:c r="P70" s="10">
        <x:v>0</x:v>
      </x:c>
      <x:c r="Q70" s="20" t="s">
        <x:v>45</x:v>
      </x:c>
      <x:c r="R70"/>
    </x:row>
    <x:row r="71" s="16" customFormat="1">
      <x:c r="A71"/>
      <x:c r="B71" s="18"/>
      <x:c r="C71" s="18" t="s">
        <x:v>47</x:v>
      </x:c>
      <x:c r="D71" s="19" t="str">
        <x:f t="shared" si="6"/>
        <x:v>SD 0.5 x5N(E) </x:v>
      </x:c>
      <x:c r="E71" s="20" t="s">
        <x:v>48</x:v>
      </x:c>
      <x:c r="F71" s="18">
        <x:v>60622</x:v>
      </x:c>
      <x:c r="G71" s="18">
        <x:v>41106</x:v>
      </x:c>
      <x:c r="H71" s="21">
        <x:v>0.40833333333333333</x:v>
      </x:c>
      <x:c r="I71" s="20">
        <x:v>3</x:v>
      </x:c>
      <x:c r="J71" s="20">
        <x:v>2</x:v>
      </x:c>
      <x:c r="K71" s="10">
        <x:v>0</x:v>
      </x:c>
      <x:c r="L71" s="10">
        <x:v>0</x:v>
      </x:c>
      <x:c r="M71" s="10">
        <x:v>0</x:v>
      </x:c>
      <x:c r="N71" s="10">
        <x:f t="shared" si="7"/>
        <x:v>0</x:v>
      </x:c>
      <x:c r="O71" s="10">
        <x:v>0</x:v>
      </x:c>
      <x:c r="P71" s="10">
        <x:v>0</x:v>
      </x:c>
      <x:c r="Q71" s="20" t="s">
        <x:v>45</x:v>
      </x:c>
      <x:c r="R71"/>
    </x:row>
    <x:row r="72" s="16" customFormat="1">
      <x:c r="A72"/>
      <x:c r="B72" s="18"/>
      <x:c r="C72" s="18" t="s">
        <x:v>47</x:v>
      </x:c>
      <x:c r="D72" s="19" t="str">
        <x:f t="shared" si="6"/>
        <x:v>SD 0.5 x5N(E) </x:v>
      </x:c>
      <x:c r="E72" s="20" t="s">
        <x:v>48</x:v>
      </x:c>
      <x:c r="F72" s="18">
        <x:v>60622</x:v>
      </x:c>
      <x:c r="G72" s="18">
        <x:v>41106</x:v>
      </x:c>
      <x:c r="H72" s="21">
        <x:v>0.40833333333333333</x:v>
      </x:c>
      <x:c r="I72" s="20">
        <x:v>6</x:v>
      </x:c>
      <x:c r="J72" s="20">
        <x:v>3</x:v>
      </x:c>
      <x:c r="K72" s="10">
        <x:v>0</x:v>
      </x:c>
      <x:c r="L72" s="10">
        <x:v>0</x:v>
      </x:c>
      <x:c r="M72" s="10">
        <x:v>0</x:v>
      </x:c>
      <x:c r="N72" s="10">
        <x:f t="shared" si="7"/>
        <x:v>0</x:v>
      </x:c>
      <x:c r="O72" s="10">
        <x:v>0</x:v>
      </x:c>
      <x:c r="P72" s="10">
        <x:v>0</x:v>
      </x:c>
      <x:c r="Q72" s="20" t="s">
        <x:v>45</x:v>
      </x:c>
      <x:c r="R72"/>
    </x:row>
    <x:row r="73" s="16" customFormat="1">
      <x:c r="A73"/>
      <x:c r="B73" s="20"/>
      <x:c r="C73" s="18" t="s">
        <x:v>47</x:v>
      </x:c>
      <x:c r="D73" s="19" t="str">
        <x:f t="shared" si="6"/>
        <x:v>SD 0.5 x5N(E) </x:v>
      </x:c>
      <x:c r="E73" s="20" t="s">
        <x:v>48</x:v>
      </x:c>
      <x:c r="F73" s="18">
        <x:v>60622</x:v>
      </x:c>
      <x:c r="G73" s="18">
        <x:v>41106</x:v>
      </x:c>
      <x:c r="H73" s="21">
        <x:v>0.40833333333333333</x:v>
      </x:c>
      <x:c r="I73" s="20">
        <x:v>3</x:v>
      </x:c>
      <x:c r="J73" s="20">
        <x:v>4</x:v>
      </x:c>
      <x:c r="K73" s="10">
        <x:v>0</x:v>
      </x:c>
      <x:c r="L73" s="10">
        <x:v>0</x:v>
      </x:c>
      <x:c r="M73" s="10">
        <x:v>0</x:v>
      </x:c>
      <x:c r="N73" s="10">
        <x:f t="shared" si="7"/>
        <x:v>0</x:v>
      </x:c>
      <x:c r="O73" s="10">
        <x:v>0</x:v>
      </x:c>
      <x:c r="P73" s="10">
        <x:v>0</x:v>
      </x:c>
      <x:c r="Q73" s="20" t="s">
        <x:v>45</x:v>
      </x:c>
      <x:c r="R73"/>
    </x:row>
    <x:row r="74" s="16" customFormat="1">
      <x:c r="A74"/>
      <x:c r="B74" s="20"/>
      <x:c r="C74" s="18" t="s">
        <x:v>47</x:v>
      </x:c>
      <x:c r="D74" s="19" t="str">
        <x:f t="shared" si="6"/>
        <x:v>SD 0.5 x5N(E) </x:v>
      </x:c>
      <x:c r="E74" s="20" t="s">
        <x:v>48</x:v>
      </x:c>
      <x:c r="F74" s="18">
        <x:v>60622</x:v>
      </x:c>
      <x:c r="G74" s="18">
        <x:v>41106</x:v>
      </x:c>
      <x:c r="H74" s="21">
        <x:v>0.40833333333333333</x:v>
      </x:c>
      <x:c r="I74" s="20">
        <x:v>6</x:v>
      </x:c>
      <x:c r="J74" s="20">
        <x:v>5</x:v>
      </x:c>
      <x:c r="K74" s="10">
        <x:v>0</x:v>
      </x:c>
      <x:c r="L74" s="10">
        <x:v>0</x:v>
      </x:c>
      <x:c r="M74" s="10">
        <x:v>1</x:v>
      </x:c>
      <x:c r="N74" s="10">
        <x:f t="shared" si="7"/>
        <x:v>1</x:v>
      </x:c>
      <x:c r="O74" s="10">
        <x:v>0</x:v>
      </x:c>
      <x:c r="P74" s="10">
        <x:v>0</x:v>
      </x:c>
      <x:c r="Q74" s="20" t="s">
        <x:v>45</x:v>
      </x:c>
      <x:c r="R74"/>
    </x:row>
    <x:row r="75" s="16" customFormat="1">
      <x:c r="A75"/>
      <x:c r="B75" s="20"/>
      <x:c r="C75" s="18" t="s">
        <x:v>47</x:v>
      </x:c>
      <x:c r="D75" s="19" t="str">
        <x:f t="shared" si="6"/>
        <x:v>SD 0.5 x5N(E) </x:v>
      </x:c>
      <x:c r="E75" s="20" t="s">
        <x:v>48</x:v>
      </x:c>
      <x:c r="F75" s="18">
        <x:v>60622</x:v>
      </x:c>
      <x:c r="G75" s="18">
        <x:v>41106</x:v>
      </x:c>
      <x:c r="H75" s="21">
        <x:v>0.40833333333333333</x:v>
      </x:c>
      <x:c r="I75" s="20">
        <x:v>3</x:v>
      </x:c>
      <x:c r="J75" s="20">
        <x:v>6</x:v>
      </x:c>
      <x:c r="K75" s="10">
        <x:v>0</x:v>
      </x:c>
      <x:c r="L75" s="10">
        <x:v>0</x:v>
      </x:c>
      <x:c r="M75" s="10">
        <x:v>0</x:v>
      </x:c>
      <x:c r="N75" s="10">
        <x:f t="shared" si="7"/>
        <x:v>0</x:v>
      </x:c>
      <x:c r="O75" s="10">
        <x:v>0</x:v>
      </x:c>
      <x:c r="P75" s="10">
        <x:v>0</x:v>
      </x:c>
      <x:c r="Q75" s="20" t="s">
        <x:v>45</x:v>
      </x:c>
      <x:c r="R75"/>
    </x:row>
    <x:row r="76" s="16" customFormat="1">
      <x:c r="A76"/>
      <x:c r="B76" s="18"/>
      <x:c r="C76" s="18" t="s">
        <x:v>47</x:v>
      </x:c>
      <x:c r="D76" s="19" t="str">
        <x:f t="shared" si="6"/>
        <x:v>SD 0.5 x5N(E) </x:v>
      </x:c>
      <x:c r="E76" s="20" t="s">
        <x:v>48</x:v>
      </x:c>
      <x:c r="F76" s="18">
        <x:v>60622</x:v>
      </x:c>
      <x:c r="G76" s="18">
        <x:v>41106</x:v>
      </x:c>
      <x:c r="H76" s="21">
        <x:v>0.40833333333333333</x:v>
      </x:c>
      <x:c r="I76" s="20">
        <x:v>6</x:v>
      </x:c>
      <x:c r="J76" s="20">
        <x:v>7</x:v>
      </x:c>
      <x:c r="K76" s="10">
        <x:v>0</x:v>
      </x:c>
      <x:c r="L76" s="10">
        <x:v>0</x:v>
      </x:c>
      <x:c r="M76" s="10">
        <x:v>0</x:v>
      </x:c>
      <x:c r="N76" s="10">
        <x:f t="shared" si="7"/>
        <x:v>0</x:v>
      </x:c>
      <x:c r="O76" s="10">
        <x:v>0</x:v>
      </x:c>
      <x:c r="P76" s="10">
        <x:v>0</x:v>
      </x:c>
      <x:c r="Q76" s="20" t="s">
        <x:v>45</x:v>
      </x:c>
      <x:c r="R76"/>
    </x:row>
    <x:row r="77" s="16" customFormat="1">
      <x:c r="A77"/>
      <x:c r="B77" s="18"/>
      <x:c r="C77" s="18" t="s">
        <x:v>47</x:v>
      </x:c>
      <x:c r="D77" s="19" t="str">
        <x:f t="shared" si="6"/>
        <x:v>SD 0.5 x5N(E) </x:v>
      </x:c>
      <x:c r="E77" s="20" t="s">
        <x:v>48</x:v>
      </x:c>
      <x:c r="F77" s="18">
        <x:v>60622</x:v>
      </x:c>
      <x:c r="G77" s="18">
        <x:v>41106</x:v>
      </x:c>
      <x:c r="H77" s="21">
        <x:v>0.40833333333333333</x:v>
      </x:c>
      <x:c r="I77" s="20">
        <x:v>3</x:v>
      </x:c>
      <x:c r="J77" s="20">
        <x:v>8</x:v>
      </x:c>
      <x:c r="K77" s="10">
        <x:v>0</x:v>
      </x:c>
      <x:c r="L77" s="10">
        <x:v>0</x:v>
      </x:c>
      <x:c r="M77" s="10">
        <x:v>0</x:v>
      </x:c>
      <x:c r="N77" s="10">
        <x:f t="shared" si="7"/>
        <x:v>0</x:v>
      </x:c>
      <x:c r="O77" s="10">
        <x:v>0</x:v>
      </x:c>
      <x:c r="P77" s="10">
        <x:v>0</x:v>
      </x:c>
      <x:c r="Q77" s="20" t="s">
        <x:v>45</x:v>
      </x:c>
      <x:c r="R77"/>
    </x:row>
    <x:row r="78" s="16" customFormat="1">
      <x:c r="A78"/>
      <x:c r="B78" s="18"/>
      <x:c r="C78" s="18" t="s">
        <x:v>47</x:v>
      </x:c>
      <x:c r="D78" s="19" t="str">
        <x:f t="shared" si="6"/>
        <x:v>SD 0.5 x5N(E) </x:v>
      </x:c>
      <x:c r="E78" s="20" t="s">
        <x:v>48</x:v>
      </x:c>
      <x:c r="F78" s="18">
        <x:v>60622</x:v>
      </x:c>
      <x:c r="G78" s="18">
        <x:v>41106</x:v>
      </x:c>
      <x:c r="H78" s="21">
        <x:v>0.40833333333333333</x:v>
      </x:c>
      <x:c r="I78" s="20">
        <x:v>3</x:v>
      </x:c>
      <x:c r="J78" s="20">
        <x:v>9</x:v>
      </x:c>
      <x:c r="K78" s="10">
        <x:v>0</x:v>
      </x:c>
      <x:c r="L78" s="10">
        <x:v>0</x:v>
      </x:c>
      <x:c r="M78" s="10">
        <x:v>9</x:v>
      </x:c>
      <x:c r="N78" s="10">
        <x:f t="shared" si="7"/>
        <x:v>9</x:v>
      </x:c>
      <x:c r="O78" s="10">
        <x:v>0</x:v>
      </x:c>
      <x:c r="P78" s="10">
        <x:v>0</x:v>
      </x:c>
      <x:c r="Q78" s="20" t="s">
        <x:v>45</x:v>
      </x:c>
      <x:c r="R78"/>
    </x:row>
    <x:row r="79" s="16" customFormat="1">
      <x:c r="A79"/>
      <x:c r="B79" s="20"/>
      <x:c r="C79" s="18" t="s">
        <x:v>47</x:v>
      </x:c>
      <x:c r="D79" s="19" t="str">
        <x:f t="shared" si="6"/>
        <x:v>SD 0.5 x5N(E) </x:v>
      </x:c>
      <x:c r="E79" s="20" t="s">
        <x:v>48</x:v>
      </x:c>
      <x:c r="F79" s="18">
        <x:v>60622</x:v>
      </x:c>
      <x:c r="G79" s="18">
        <x:v>41106</x:v>
      </x:c>
      <x:c r="H79" s="21">
        <x:v>0.40833333333333333</x:v>
      </x:c>
      <x:c r="I79" s="20">
        <x:v>6</x:v>
      </x:c>
      <x:c r="J79" s="20">
        <x:v>10</x:v>
      </x:c>
      <x:c r="K79" s="10">
        <x:v>0</x:v>
      </x:c>
      <x:c r="L79" s="10">
        <x:v>0</x:v>
      </x:c>
      <x:c r="M79" s="10">
        <x:v>0</x:v>
      </x:c>
      <x:c r="N79" s="10">
        <x:f t="shared" si="7"/>
        <x:v>0</x:v>
      </x:c>
      <x:c r="O79" s="10">
        <x:v>0</x:v>
      </x:c>
      <x:c r="P79" s="10">
        <x:v>0</x:v>
      </x:c>
      <x:c r="Q79" s="20" t="s">
        <x:v>45</x:v>
      </x:c>
      <x:c r="R79"/>
    </x:row>
    <x:row r="80" s="16" customFormat="1">
      <x:c r="A80"/>
      <x:c r="B80" s="20"/>
      <x:c r="C80" s="18" t="s">
        <x:v>47</x:v>
      </x:c>
      <x:c r="D80" s="19" t="str">
        <x:f t="shared" si="6"/>
        <x:v>SD 0.5 x5N(E) </x:v>
      </x:c>
      <x:c r="E80" s="20" t="s">
        <x:v>48</x:v>
      </x:c>
      <x:c r="F80" s="18">
        <x:v>60622</x:v>
      </x:c>
      <x:c r="G80" s="18">
        <x:v>41106</x:v>
      </x:c>
      <x:c r="H80" s="21">
        <x:v>0.40833333333333333</x:v>
      </x:c>
      <x:c r="I80" s="20">
        <x:v>3</x:v>
      </x:c>
      <x:c r="J80" s="20">
        <x:v>11</x:v>
      </x:c>
      <x:c r="K80" s="10">
        <x:v>0</x:v>
      </x:c>
      <x:c r="L80" s="10">
        <x:v>0</x:v>
      </x:c>
      <x:c r="M80" s="10">
        <x:v>0</x:v>
      </x:c>
      <x:c r="N80" s="10">
        <x:f t="shared" si="7"/>
        <x:v>0</x:v>
      </x:c>
      <x:c r="O80" s="10">
        <x:v>0</x:v>
      </x:c>
      <x:c r="P80" s="10">
        <x:v>0</x:v>
      </x:c>
      <x:c r="Q80" s="20" t="s">
        <x:v>45</x:v>
      </x:c>
      <x:c r="R80"/>
    </x:row>
    <x:row r="81" s="16" customFormat="1">
      <x:c r="A81"/>
      <x:c r="B81" s="20"/>
      <x:c r="C81" s="18" t="s">
        <x:v>47</x:v>
      </x:c>
      <x:c r="D81" s="19" t="str">
        <x:f t="shared" si="6"/>
        <x:v>SD 0.5 x5N(E) </x:v>
      </x:c>
      <x:c r="E81" s="20" t="s">
        <x:v>48</x:v>
      </x:c>
      <x:c r="F81" s="18">
        <x:v>60622</x:v>
      </x:c>
      <x:c r="G81" s="18">
        <x:v>41106</x:v>
      </x:c>
      <x:c r="H81" s="21">
        <x:v>0.40833333333333333</x:v>
      </x:c>
      <x:c r="I81" s="20">
        <x:v>6</x:v>
      </x:c>
      <x:c r="J81" s="20">
        <x:v>12</x:v>
      </x:c>
      <x:c r="K81" s="10">
        <x:v>0</x:v>
      </x:c>
      <x:c r="L81" s="10">
        <x:v>0</x:v>
      </x:c>
      <x:c r="M81" s="10">
        <x:v>0</x:v>
      </x:c>
      <x:c r="N81" s="10">
        <x:f t="shared" si="7"/>
        <x:v>0</x:v>
      </x:c>
      <x:c r="O81" s="10">
        <x:v>0</x:v>
      </x:c>
      <x:c r="P81" s="10">
        <x:v>0</x:v>
      </x:c>
      <x:c r="Q81" s="20" t="s">
        <x:v>45</x:v>
      </x:c>
      <x:c r="R81"/>
    </x:row>
    <x:row r="82" s="16" customFormat="1">
      <x:c r="A82"/>
      <x:c r="B82" s="20"/>
      <x:c r="C82" s="18" t="s">
        <x:v>47</x:v>
      </x:c>
      <x:c r="D82" s="19" t="str">
        <x:f t="shared" si="6"/>
        <x:v>SD 0.5 x5N(E) </x:v>
      </x:c>
      <x:c r="E82" s="20" t="s">
        <x:v>48</x:v>
      </x:c>
      <x:c r="F82" s="18">
        <x:v>60622</x:v>
      </x:c>
      <x:c r="G82" s="18">
        <x:v>41106</x:v>
      </x:c>
      <x:c r="H82" s="21">
        <x:v>0.40833333333333333</x:v>
      </x:c>
      <x:c r="I82" s="20">
        <x:v>6</x:v>
      </x:c>
      <x:c r="J82" s="20">
        <x:v>13</x:v>
      </x:c>
      <x:c r="K82" s="10">
        <x:v>0</x:v>
      </x:c>
      <x:c r="L82" s="10">
        <x:v>0</x:v>
      </x:c>
      <x:c r="M82" s="10">
        <x:v>0</x:v>
      </x:c>
      <x:c r="N82" s="10">
        <x:f t="shared" si="7"/>
        <x:v>0</x:v>
      </x:c>
      <x:c r="O82" s="10">
        <x:v>0</x:v>
      </x:c>
      <x:c r="P82" s="10">
        <x:v>0</x:v>
      </x:c>
      <x:c r="Q82" s="20" t="s">
        <x:v>45</x:v>
      </x:c>
      <x:c r="R82"/>
    </x:row>
    <x:row r="83" s="16" customFormat="1">
      <x:c r="A83"/>
      <x:c r="B83" s="20"/>
      <x:c r="C83" s="18" t="s">
        <x:v>47</x:v>
      </x:c>
      <x:c r="D83" s="19" t="str">
        <x:f t="shared" si="6"/>
        <x:v>SD 0.5 x5N(E) </x:v>
      </x:c>
      <x:c r="E83" s="20" t="s">
        <x:v>48</x:v>
      </x:c>
      <x:c r="F83" s="18">
        <x:v>60622</x:v>
      </x:c>
      <x:c r="G83" s="18">
        <x:v>41106</x:v>
      </x:c>
      <x:c r="H83" s="21">
        <x:v>0.40833333333333333</x:v>
      </x:c>
      <x:c r="I83" s="20">
        <x:v>3</x:v>
      </x:c>
      <x:c r="J83" s="20">
        <x:v>14</x:v>
      </x:c>
      <x:c r="K83" s="10">
        <x:v>0</x:v>
      </x:c>
      <x:c r="L83" s="10">
        <x:v>0</x:v>
      </x:c>
      <x:c r="M83" s="10">
        <x:v>0</x:v>
      </x:c>
      <x:c r="N83" s="10">
        <x:f t="shared" si="7"/>
        <x:v>0</x:v>
      </x:c>
      <x:c r="O83" s="10">
        <x:v>0</x:v>
      </x:c>
      <x:c r="P83" s="10">
        <x:v>0</x:v>
      </x:c>
      <x:c r="Q83" s="20" t="s">
        <x:v>45</x:v>
      </x:c>
      <x:c r="R83"/>
    </x:row>
    <x:row r="84" s="16" customFormat="1">
      <x:c r="A84"/>
      <x:c r="B84" s="20"/>
      <x:c r="C84" s="18" t="s">
        <x:v>47</x:v>
      </x:c>
      <x:c r="D84" s="19" t="str">
        <x:f t="shared" si="6"/>
        <x:v>SD 0.5 x5N(E) </x:v>
      </x:c>
      <x:c r="E84" s="20" t="s">
        <x:v>48</x:v>
      </x:c>
      <x:c r="F84" s="18">
        <x:v>60622</x:v>
      </x:c>
      <x:c r="G84" s="18">
        <x:v>41106</x:v>
      </x:c>
      <x:c r="H84" s="21">
        <x:v>0.40833333333333333</x:v>
      </x:c>
      <x:c r="I84" s="20">
        <x:v>6</x:v>
      </x:c>
      <x:c r="J84" s="20">
        <x:v>15</x:v>
      </x:c>
      <x:c r="K84" s="10">
        <x:v>0</x:v>
      </x:c>
      <x:c r="L84" s="10">
        <x:v>0</x:v>
      </x:c>
      <x:c r="M84" s="10">
        <x:v>0</x:v>
      </x:c>
      <x:c r="N84" s="10">
        <x:f t="shared" si="7"/>
        <x:v>0</x:v>
      </x:c>
      <x:c r="O84" s="10">
        <x:v>1</x:v>
      </x:c>
      <x:c r="P84" s="10">
        <x:v>0</x:v>
      </x:c>
      <x:c r="Q84" s="20" t="s">
        <x:v>45</x:v>
      </x:c>
      <x:c r="R84"/>
    </x:row>
    <x:row r="85" s="16" customFormat="1">
      <x:c r="A85"/>
      <x:c r="F85" s="22"/>
      <x:c r="H85" s="23"/>
      <x:c r="I85" s="23"/>
      <x:c r="J85" s="23"/>
      <x:c r="K85" s="24"/>
      <x:c r="L85" s="24"/>
      <x:c r="M85" s="24"/>
      <x:c r="N85" s="24"/>
      <x:c r="O85" s="24"/>
      <x:c r="P85" s="24"/>
      <x:c r="R85"/>
    </x:row>
    <x:row r="86" s="16" customFormat="1">
      <x:c r="A86"/>
      <x:c r="F86" s="22"/>
      <x:c r="H86" s="23"/>
      <x:c r="I86" s="23"/>
      <x:c r="J86" s="23"/>
      <x:c r="K86" s="24"/>
      <x:c r="L86" s="24"/>
      <x:c r="M86" s="24"/>
      <x:c r="N86" s="24"/>
      <x:c r="O86" s="24"/>
      <x:c r="P86" s="24"/>
      <x:c r="R86"/>
    </x:row>
    <x:row r="87" s="16" customFormat="1" ht="14.550000190734863" customHeight="1">
      <x:c r="A87"/>
      <x:c r="F87" s="22"/>
      <x:c r="H87" s="23"/>
      <x:c r="I87" s="23"/>
      <x:c r="J87" s="23"/>
      <x:c r="K87" s="24"/>
      <x:c r="L87" s="24"/>
      <x:c r="M87" s="24"/>
      <x:c r="N87" s="24"/>
      <x:c r="O87" s="24"/>
      <x:c r="P87" s="24"/>
      <x:c r="R87"/>
    </x:row>
    <x:row r="88" s="16" customFormat="1">
      <x:c r="A88"/>
      <x:c r="F88" s="22"/>
      <x:c r="H88" s="23"/>
      <x:c r="I88" s="23"/>
      <x:c r="J88" s="23"/>
      <x:c r="K88" s="24"/>
      <x:c r="L88" s="24"/>
      <x:c r="M88" s="24"/>
      <x:c r="N88" s="24"/>
      <x:c r="O88" s="24"/>
      <x:c r="P88" s="24"/>
      <x:c r="R88"/>
    </x:row>
    <x:row r="89" s="16" customFormat="1">
      <x:c r="A89"/>
      <x:c r="F89" s="22"/>
      <x:c r="H89" s="23"/>
      <x:c r="I89" s="23"/>
      <x:c r="J89" s="23"/>
      <x:c r="K89" s="24"/>
      <x:c r="L89" s="24"/>
      <x:c r="M89" s="24"/>
      <x:c r="N89" s="24"/>
      <x:c r="O89" s="24"/>
      <x:c r="P89" s="24"/>
      <x:c r="R89"/>
    </x:row>
    <x:row r="90" s="16" customFormat="1">
      <x:c r="A90"/>
      <x:c r="F90" s="22"/>
      <x:c r="H90" s="23"/>
      <x:c r="I90" s="23"/>
      <x:c r="J90" s="23"/>
      <x:c r="K90" s="24"/>
      <x:c r="L90" s="24"/>
      <x:c r="M90" s="24"/>
      <x:c r="N90" s="24"/>
      <x:c r="O90" s="24"/>
      <x:c r="P90" s="24"/>
      <x:c r="R90"/>
    </x:row>
    <x:row r="91" s="16" customFormat="1">
      <x:c r="A91"/>
      <x:c r="F91" s="22"/>
      <x:c r="H91" s="23"/>
      <x:c r="I91" s="23"/>
      <x:c r="J91" s="23"/>
      <x:c r="K91" s="24"/>
      <x:c r="L91" s="24"/>
      <x:c r="M91" s="24"/>
      <x:c r="N91" s="24"/>
      <x:c r="O91" s="24"/>
      <x:c r="P91" s="24"/>
      <x:c r="R91"/>
    </x:row>
    <x:row r="92" s="16" customFormat="1">
      <x:c r="A92"/>
      <x:c r="F92" s="22"/>
      <x:c r="H92" s="23"/>
      <x:c r="I92" s="23"/>
      <x:c r="J92" s="23"/>
      <x:c r="K92" s="24"/>
      <x:c r="L92" s="24"/>
      <x:c r="M92" s="24"/>
      <x:c r="N92" s="24"/>
      <x:c r="O92" s="24"/>
      <x:c r="P92" s="24"/>
      <x:c r="R92"/>
    </x:row>
    <x:row r="93" s="16" customFormat="1">
      <x:c r="A93"/>
      <x:c r="F93" s="22"/>
      <x:c r="H93" s="23"/>
      <x:c r="I93" s="23"/>
      <x:c r="J93" s="23"/>
      <x:c r="K93" s="24"/>
      <x:c r="L93" s="24"/>
      <x:c r="M93" s="24"/>
      <x:c r="N93" s="24"/>
      <x:c r="O93" s="24"/>
      <x:c r="P93" s="24"/>
      <x:c r="R93"/>
    </x:row>
    <x:row r="94" s="16" customFormat="1">
      <x:c r="A94"/>
      <x:c r="F94" s="22"/>
      <x:c r="H94" s="23"/>
      <x:c r="I94" s="23"/>
      <x:c r="J94" s="23"/>
      <x:c r="K94" s="24"/>
      <x:c r="L94" s="24"/>
      <x:c r="M94" s="24"/>
      <x:c r="N94" s="24"/>
      <x:c r="O94" s="24"/>
      <x:c r="P94" s="24"/>
      <x:c r="R94"/>
    </x:row>
    <x:row r="95" s="16" customFormat="1">
      <x:c r="A95"/>
      <x:c r="F95" s="22"/>
      <x:c r="H95" s="23"/>
      <x:c r="I95" s="23"/>
      <x:c r="J95" s="23"/>
      <x:c r="K95" s="24"/>
      <x:c r="L95" s="24"/>
      <x:c r="M95" s="24"/>
      <x:c r="N95" s="24"/>
      <x:c r="O95" s="24"/>
      <x:c r="P95" s="24"/>
      <x:c r="R95"/>
    </x:row>
    <x:row r="96" s="16" customFormat="1">
      <x:c r="A96"/>
      <x:c r="F96" s="22"/>
      <x:c r="H96" s="23"/>
      <x:c r="I96" s="23"/>
      <x:c r="J96" s="23"/>
      <x:c r="K96" s="24"/>
      <x:c r="L96" s="24"/>
      <x:c r="M96" s="24"/>
      <x:c r="N96" s="24"/>
      <x:c r="O96" s="24"/>
      <x:c r="P96" s="24"/>
      <x:c r="R96"/>
    </x:row>
    <x:row r="97" s="16" customFormat="1">
      <x:c r="A97"/>
      <x:c r="F97" s="22"/>
      <x:c r="H97" s="23"/>
      <x:c r="I97" s="23"/>
      <x:c r="J97" s="23"/>
      <x:c r="K97" s="24"/>
      <x:c r="L97" s="24"/>
      <x:c r="M97" s="24"/>
      <x:c r="N97" s="24"/>
      <x:c r="O97" s="24"/>
      <x:c r="P97" s="24"/>
      <x:c r="R97"/>
    </x:row>
    <x:row r="98" s="16" customFormat="1">
      <x:c r="A98"/>
      <x:c r="F98" s="22"/>
      <x:c r="H98" s="23"/>
      <x:c r="I98" s="23"/>
      <x:c r="J98" s="23"/>
      <x:c r="K98" s="24"/>
      <x:c r="L98" s="24"/>
      <x:c r="M98" s="24"/>
      <x:c r="N98" s="24"/>
      <x:c r="O98" s="24"/>
      <x:c r="P98" s="24"/>
      <x:c r="R98"/>
    </x:row>
    <x:row r="99" s="16" customFormat="1">
      <x:c r="A99"/>
      <x:c r="F99" s="22"/>
      <x:c r="H99" s="23"/>
      <x:c r="I99" s="23"/>
      <x:c r="J99" s="23"/>
      <x:c r="K99" s="24"/>
      <x:c r="L99" s="24"/>
      <x:c r="M99" s="24"/>
      <x:c r="N99" s="24"/>
      <x:c r="O99" s="24"/>
      <x:c r="P99" s="24"/>
      <x:c r="R99"/>
    </x:row>
    <x:row r="100" s="16" customFormat="1">
      <x:c r="A100"/>
      <x:c r="F100" s="22"/>
      <x:c r="H100" s="23"/>
      <x:c r="I100" s="23"/>
      <x:c r="J100" s="23"/>
      <x:c r="K100" s="24"/>
      <x:c r="L100" s="24"/>
      <x:c r="M100" s="24"/>
      <x:c r="N100" s="24"/>
      <x:c r="O100" s="24"/>
      <x:c r="P100" s="24"/>
      <x:c r="R100"/>
    </x:row>
    <x:row r="101" s="16" customFormat="1">
      <x:c r="A101"/>
      <x:c r="F101" s="22"/>
      <x:c r="H101" s="23"/>
      <x:c r="I101" s="23"/>
      <x:c r="J101" s="23"/>
      <x:c r="K101" s="24"/>
      <x:c r="L101" s="24"/>
      <x:c r="M101" s="24"/>
      <x:c r="N101" s="24"/>
      <x:c r="O101" s="24"/>
      <x:c r="P101" s="24"/>
      <x:c r="R101"/>
    </x:row>
    <x:row r="102" s="16" customFormat="1">
      <x:c r="A102"/>
      <x:c r="F102" s="22"/>
      <x:c r="H102" s="23"/>
      <x:c r="I102" s="23"/>
      <x:c r="J102" s="23"/>
      <x:c r="K102" s="24"/>
      <x:c r="L102" s="24"/>
      <x:c r="M102" s="24"/>
      <x:c r="N102" s="24"/>
      <x:c r="O102" s="24"/>
      <x:c r="P102" s="24"/>
      <x:c r="R102"/>
    </x:row>
    <x:row r="103" s="16" customFormat="1">
      <x:c r="A103"/>
      <x:c r="F103" s="22"/>
      <x:c r="H103" s="23"/>
      <x:c r="I103" s="23"/>
      <x:c r="J103" s="23"/>
      <x:c r="K103" s="24"/>
      <x:c r="L103" s="24"/>
      <x:c r="M103" s="24"/>
      <x:c r="N103" s="24"/>
      <x:c r="O103" s="24"/>
      <x:c r="P103" s="24"/>
      <x:c r="R103"/>
    </x:row>
    <x:row r="104" s="16" customFormat="1">
      <x:c r="A104"/>
      <x:c r="F104" s="22"/>
      <x:c r="H104" s="23"/>
      <x:c r="I104" s="23"/>
      <x:c r="J104" s="23"/>
      <x:c r="K104" s="24"/>
      <x:c r="L104" s="24"/>
      <x:c r="M104" s="24"/>
      <x:c r="N104" s="24"/>
      <x:c r="O104" s="24"/>
      <x:c r="P104" s="24"/>
      <x:c r="R104"/>
    </x:row>
    <x:row r="105" s="16" customFormat="1">
      <x:c r="A105"/>
      <x:c r="F105" s="22"/>
      <x:c r="H105" s="23"/>
      <x:c r="I105" s="23"/>
      <x:c r="J105" s="23"/>
      <x:c r="K105" s="24"/>
      <x:c r="L105" s="24"/>
      <x:c r="M105" s="24"/>
      <x:c r="N105" s="24"/>
      <x:c r="O105" s="24"/>
      <x:c r="P105" s="24"/>
      <x:c r="R105"/>
    </x:row>
    <x:row r="106" s="16" customFormat="1">
      <x:c r="A106"/>
      <x:c r="F106" s="22"/>
      <x:c r="H106" s="23"/>
      <x:c r="I106" s="23"/>
      <x:c r="J106" s="23"/>
      <x:c r="K106" s="24"/>
      <x:c r="L106" s="24"/>
      <x:c r="M106" s="24"/>
      <x:c r="N106" s="24"/>
      <x:c r="O106" s="24"/>
      <x:c r="P106" s="24"/>
      <x:c r="R106"/>
    </x:row>
    <x:row r="107" s="16" customFormat="1">
      <x:c r="A107"/>
      <x:c r="F107" s="22"/>
      <x:c r="H107" s="23"/>
      <x:c r="I107" s="23"/>
      <x:c r="J107" s="23"/>
      <x:c r="K107" s="24"/>
      <x:c r="L107" s="24"/>
      <x:c r="M107" s="24"/>
      <x:c r="N107" s="24"/>
      <x:c r="O107" s="24"/>
      <x:c r="P107" s="24"/>
      <x:c r="R107"/>
    </x:row>
    <x:row r="108" s="16" customFormat="1">
      <x:c r="A108"/>
      <x:c r="F108" s="22"/>
      <x:c r="H108" s="23"/>
      <x:c r="I108" s="23"/>
      <x:c r="J108" s="23"/>
      <x:c r="K108" s="24"/>
      <x:c r="L108" s="24"/>
      <x:c r="M108" s="24"/>
      <x:c r="N108" s="24"/>
      <x:c r="O108" s="24"/>
      <x:c r="P108" s="24"/>
      <x:c r="R108"/>
    </x:row>
    <x:row r="109" s="16" customFormat="1">
      <x:c r="A109"/>
      <x:c r="F109" s="22"/>
      <x:c r="H109" s="23"/>
      <x:c r="I109" s="23"/>
      <x:c r="J109" s="23"/>
      <x:c r="K109" s="24"/>
      <x:c r="L109" s="24"/>
      <x:c r="M109" s="24"/>
      <x:c r="N109" s="24"/>
      <x:c r="O109" s="24"/>
      <x:c r="P109" s="24"/>
      <x:c r="R109"/>
    </x:row>
    <x:row r="110" s="16" customFormat="1">
      <x:c r="A110"/>
      <x:c r="F110" s="22"/>
      <x:c r="H110" s="23"/>
      <x:c r="I110" s="23"/>
      <x:c r="J110" s="23"/>
      <x:c r="K110" s="24"/>
      <x:c r="L110" s="24"/>
      <x:c r="M110" s="24"/>
      <x:c r="N110" s="24"/>
      <x:c r="O110" s="24"/>
      <x:c r="P110" s="24"/>
      <x:c r="R110"/>
    </x:row>
    <x:row r="111" s="16" customFormat="1">
      <x:c r="A111"/>
      <x:c r="F111" s="22"/>
      <x:c r="H111" s="23"/>
      <x:c r="I111" s="23"/>
      <x:c r="J111" s="23"/>
      <x:c r="K111" s="24"/>
      <x:c r="L111" s="24"/>
      <x:c r="M111" s="24"/>
      <x:c r="N111" s="24"/>
      <x:c r="O111" s="24"/>
      <x:c r="P111" s="24"/>
      <x:c r="R111"/>
    </x:row>
    <x:row r="112" s="16" customFormat="1">
      <x:c r="A112"/>
      <x:c r="F112" s="22"/>
      <x:c r="H112" s="23"/>
      <x:c r="I112" s="23"/>
      <x:c r="J112" s="23"/>
      <x:c r="K112" s="24"/>
      <x:c r="L112" s="24"/>
      <x:c r="M112" s="24"/>
      <x:c r="N112" s="24"/>
      <x:c r="O112" s="24"/>
      <x:c r="P112" s="24"/>
      <x:c r="R112"/>
    </x:row>
    <x:row r="113" s="16" customFormat="1">
      <x:c r="A113"/>
      <x:c r="F113" s="22"/>
      <x:c r="H113" s="23"/>
      <x:c r="I113" s="23"/>
      <x:c r="J113" s="23"/>
      <x:c r="K113" s="24"/>
      <x:c r="L113" s="24"/>
      <x:c r="M113" s="24"/>
      <x:c r="N113" s="24"/>
      <x:c r="O113" s="24"/>
      <x:c r="P113" s="24"/>
      <x:c r="R113"/>
    </x:row>
    <x:row r="114" s="16" customFormat="1">
      <x:c r="A114"/>
      <x:c r="F114" s="22"/>
      <x:c r="H114" s="23"/>
      <x:c r="I114" s="23"/>
      <x:c r="J114" s="23"/>
      <x:c r="K114" s="24"/>
      <x:c r="L114" s="24"/>
      <x:c r="M114" s="24"/>
      <x:c r="N114" s="24"/>
      <x:c r="O114" s="24"/>
      <x:c r="P114" s="24"/>
      <x:c r="R114"/>
    </x:row>
    <x:row r="115" s="16" customFormat="1">
      <x:c r="A115"/>
      <x:c r="F115" s="22"/>
      <x:c r="H115" s="23"/>
      <x:c r="I115" s="23"/>
      <x:c r="J115" s="23"/>
      <x:c r="K115" s="24"/>
      <x:c r="L115" s="24"/>
      <x:c r="M115" s="24"/>
      <x:c r="N115" s="24"/>
      <x:c r="O115" s="24"/>
      <x:c r="P115" s="24"/>
      <x:c r="R115"/>
    </x:row>
    <x:row r="116" s="16" customFormat="1">
      <x:c r="A116"/>
      <x:c r="F116" s="22"/>
      <x:c r="H116" s="23"/>
      <x:c r="I116" s="23"/>
      <x:c r="J116" s="23"/>
      <x:c r="K116" s="24"/>
      <x:c r="L116" s="24"/>
      <x:c r="M116" s="24"/>
      <x:c r="N116" s="24"/>
      <x:c r="O116" s="24"/>
      <x:c r="P116" s="24"/>
      <x:c r="R116"/>
    </x:row>
    <x:row r="117" s="16" customFormat="1">
      <x:c r="A117"/>
      <x:c r="F117" s="22"/>
      <x:c r="H117" s="23"/>
      <x:c r="I117" s="23"/>
      <x:c r="J117" s="23"/>
      <x:c r="K117" s="24"/>
      <x:c r="L117" s="24"/>
      <x:c r="M117" s="24"/>
      <x:c r="N117" s="24"/>
      <x:c r="O117" s="24"/>
      <x:c r="P117" s="24"/>
      <x:c r="R117"/>
    </x:row>
  </x:sheetData>
  <x:mergeCells>
    <x:mergeCell ref="Q68:Q69"/>
    <x:mergeCell ref="B68:B69"/>
    <x:mergeCell ref="C68:C69"/>
    <x:mergeCell ref="D68:D69"/>
    <x:mergeCell ref="H68:H69"/>
    <x:mergeCell ref="K68:P68"/>
    <x:mergeCell ref="F2:F3"/>
    <x:mergeCell ref="B1:D1"/>
    <x:mergeCell ref="B2:B3"/>
    <x:mergeCell ref="C2:C3"/>
    <x:mergeCell ref="D2:D3"/>
    <x:mergeCell ref="E2:E3"/>
    <x:mergeCell ref="G2:G3"/>
    <x:mergeCell ref="H2:H3"/>
    <x:mergeCell ref="K2:K3"/>
    <x:mergeCell ref="H49:H50"/>
    <x:mergeCell ref="K49:P49"/>
    <x:mergeCell ref="L2:L3"/>
    <x:mergeCell ref="M2:M3"/>
    <x:mergeCell ref="Q49:Q50"/>
    <x:mergeCell ref="Q9:Q10"/>
    <x:mergeCell ref="B29:B30"/>
    <x:mergeCell ref="C29:C30"/>
    <x:mergeCell ref="D29:D30"/>
    <x:mergeCell ref="H29:H30"/>
    <x:mergeCell ref="K29:P29"/>
    <x:mergeCell ref="Q29:Q30"/>
    <x:mergeCell ref="B9:B10"/>
    <x:mergeCell ref="C9:C10"/>
    <x:mergeCell ref="D9:D10"/>
    <x:mergeCell ref="H9:H10"/>
    <x:mergeCell ref="K9:P9"/>
    <x:mergeCell ref="B49:B50"/>
    <x:mergeCell ref="C49:C50"/>
    <x:mergeCell ref="D49:D50"/>
  </x:mergeCells>
  <x:conditionalFormatting sqref="K11:K28 K31:K48 K51:K67">
    <x:cfRule type="cellIs" dxfId="48" priority="13" operator="greaterThan">
      <x:formula>$C$6</x:formula>
    </x:cfRule>
    <x:cfRule type="cellIs" dxfId="47" priority="14" operator="greaterThan">
      <x:formula>$C$5</x:formula>
    </x:cfRule>
  </x:conditionalFormatting>
  <x:conditionalFormatting sqref="K70:K49999">
    <x:cfRule type="cellIs" dxfId="46" priority="1" operator="greaterThan">
      <x:formula>$C$6</x:formula>
    </x:cfRule>
    <x:cfRule type="cellIs" dxfId="45" priority="2" operator="greaterThan">
      <x:formula>$C$5</x:formula>
    </x:cfRule>
  </x:conditionalFormatting>
  <x:conditionalFormatting sqref="K11:P28 K31:P48 K51:P67">
    <x:cfRule type="cellIs" dxfId="44" priority="12" operator="greaterThan">
      <x:formula>0</x:formula>
    </x:cfRule>
  </x:conditionalFormatting>
  <x:conditionalFormatting sqref="K70:P49999">
    <x:cfRule type="cellIs" dxfId="43" priority="7" operator="greaterThan">
      <x:formula>0</x:formula>
    </x:cfRule>
  </x:conditionalFormatting>
  <x:conditionalFormatting sqref="N11:N28 N31:N48 N51:N67">
    <x:cfRule type="cellIs" dxfId="42" priority="10" operator="greaterThan">
      <x:formula>$E$6</x:formula>
    </x:cfRule>
    <x:cfRule type="cellIs" dxfId="41" priority="11" operator="greaterThan">
      <x:formula>$E$5</x:formula>
    </x:cfRule>
  </x:conditionalFormatting>
  <x:conditionalFormatting sqref="N70:N49999">
    <x:cfRule type="cellIs" dxfId="40" priority="5" operator="greaterThan">
      <x:formula>$E$6</x:formula>
    </x:cfRule>
    <x:cfRule type="cellIs" dxfId="39" priority="6" operator="greaterThan">
      <x:formula>$E$5</x:formula>
    </x:cfRule>
  </x:conditionalFormatting>
  <x:conditionalFormatting sqref="O11:O28 O31:O48 O51:O67 O85:O49999">
    <x:cfRule type="cellIs" dxfId="38" priority="8" operator="greaterThan">
      <x:formula>$K$6</x:formula>
    </x:cfRule>
    <x:cfRule type="cellIs" dxfId="37" priority="9" operator="greaterThan">
      <x:formula>$K$5</x:formula>
    </x:cfRule>
  </x:conditionalFormatting>
  <x:conditionalFormatting sqref="O70:O84">
    <x:cfRule type="cellIs" dxfId="36" priority="3" operator="greaterThan">
      <x:formula>$I$6</x:formula>
    </x:cfRule>
    <x:cfRule type="cellIs" dxfId="35" priority="4" operator="greaterThan">
      <x:formula>$I$5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.109375" defaultRowHeight="14.399999618530273"/>
  <x:cols>
    <x:col min="1" max="1" width="5.109375" customWidth="1"/>
    <x:col min="2" max="7" width="12.6640625" style="16" customWidth="1"/>
    <x:col min="8" max="10" width="12.6640625" style="23" customWidth="1"/>
    <x:col min="11" max="16" width="12.6640625" style="24" customWidth="1"/>
    <x:col min="17" max="17" width="12.6640625" style="16" customWidth="1"/>
  </x:cols>
  <x:sheetData>
    <x:row r="1" s="6" customFormat="1" ht="23.399999618530273">
      <x:c r="A1" s="1" t="s">
        <x:v>0</x:v>
      </x:c>
      <x:c r="B1" s="60" t="s">
        <x:v>49</x:v>
      </x:c>
      <x:c r="C1" s="60"/>
      <x:c r="D1" s="60"/>
      <x:c r="E1" s="2" t="s">
        <x:v>2</x:v>
      </x:c>
      <x:c r="F1" s="3"/>
      <x:c r="G1" s="3"/>
      <x:c r="H1" s="4"/>
      <x:c r="I1" s="4"/>
      <x:c r="J1" s="4"/>
      <x:c r="K1" s="5"/>
      <x:c r="L1" s="5"/>
      <x:c r="M1" s="5"/>
      <x:c r="N1" s="5"/>
      <x:c r="O1" s="5"/>
      <x:c r="P1" s="5"/>
      <x:c r="Q1" s="3"/>
    </x:row>
    <x:row r="2" s="6" customFormat="1" ht="15" customHeight="1">
      <x:c r="A2" s="1"/>
      <x:c r="B2" s="56" t="s">
        <x:v>3</x:v>
      </x:c>
      <x:c r="C2" s="57" t="s">
        <x:v>4</x:v>
      </x:c>
      <x:c r="D2" s="57" t="s">
        <x:v>5</x:v>
      </x:c>
      <x:c r="E2" s="57" t="s">
        <x:v>6</x:v>
      </x:c>
      <x:c r="F2" s="57" t="s">
        <x:v>7</x:v>
      </x:c>
      <x:c r="G2" s="57" t="s">
        <x:v>8</x:v>
      </x:c>
      <x:c r="H2" s="57" t="s">
        <x:v>9</x:v>
      </x:c>
      <x:c r="I2" s="8"/>
      <x:c r="J2" s="8"/>
      <x:c r="K2" s="57" t="s">
        <x:v>10</x:v>
      </x:c>
      <x:c r="L2" s="57" t="s">
        <x:v>11</x:v>
      </x:c>
      <x:c r="M2" s="57" t="s">
        <x:v>12</x:v>
      </x:c>
    </x:row>
    <x:row r="3" s="6" customFormat="1" ht="15" customHeight="1">
      <x:c r="A3" s="1"/>
      <x:c r="B3" s="56"/>
      <x:c r="C3" s="57"/>
      <x:c r="D3" s="57"/>
      <x:c r="E3" s="57"/>
      <x:c r="F3" s="57"/>
      <x:c r="G3" s="57"/>
      <x:c r="H3" s="57"/>
      <x:c r="I3" s="8"/>
      <x:c r="J3" s="8"/>
      <x:c r="K3" s="57"/>
      <x:c r="L3" s="57"/>
      <x:c r="M3" s="57"/>
    </x:row>
    <x:row r="4" s="6" customFormat="1" ht="15" customHeight="1">
      <x:c r="A4" s="1"/>
      <x:c r="B4" s="9" t="s">
        <x:v>13</x:v>
      </x:c>
      <x:c r="C4" s="10" t="e">
        <x:f>'[1]Raw data S-Side'!C4</x:f>
        <x:v>#REF!</x:v>
      </x:c>
      <x:c r="D4" s="11" t="e">
        <x:f>'[1]Raw data S-Side'!D4</x:f>
        <x:v>#REF!</x:v>
      </x:c>
      <x:c r="E4" s="10" t="e">
        <x:f>'[1]Raw data S-Side'!E4</x:f>
        <x:v>#REF!</x:v>
      </x:c>
      <x:c r="F4" s="11" t="e">
        <x:f>'[1]Raw data S-Side'!F4</x:f>
        <x:v>#REF!</x:v>
      </x:c>
      <x:c r="G4" s="10" t="e">
        <x:f>'[1]Raw data S-Side'!G4</x:f>
        <x:v>#REF!</x:v>
      </x:c>
      <x:c r="H4" s="10" t="e">
        <x:f>'[1]Raw data S-Side'!H4</x:f>
        <x:v>#REF!</x:v>
      </x:c>
      <x:c r="I4" s="10" t="e">
        <x:f>'[1]Raw data S-Side'!I4</x:f>
        <x:v>#REF!</x:v>
      </x:c>
      <x:c r="J4" s="11"/>
      <x:c r="K4" s="11" t="e">
        <x:f>VLOOKUP(A1,[2]Std!1:1048576,21,FALSE)</x:f>
        <x:v>#NAME?</x:v>
      </x:c>
      <x:c r="L4" s="10" t="s">
        <x:v>14</x:v>
      </x:c>
      <x:c r="M4" s="12" t="s">
        <x:v>14</x:v>
      </x:c>
    </x:row>
    <x:row r="5" s="6" customFormat="1" ht="15" customHeight="1">
      <x:c r="A5" s="1"/>
      <x:c r="B5" s="9" t="s">
        <x:v>15</x:v>
      </x:c>
      <x:c r="C5" s="10" t="e">
        <x:f>'[1]Raw data S-Side'!C5</x:f>
        <x:v>#REF!</x:v>
      </x:c>
      <x:c r="D5" s="11" t="e">
        <x:f>'[1]Raw data S-Side'!D5</x:f>
        <x:v>#REF!</x:v>
      </x:c>
      <x:c r="E5" s="10" t="e">
        <x:f>'[1]Raw data S-Side'!E5</x:f>
        <x:v>#REF!</x:v>
      </x:c>
      <x:c r="F5" s="11" t="e">
        <x:f>'[1]Raw data S-Side'!F5</x:f>
        <x:v>#REF!</x:v>
      </x:c>
      <x:c r="G5" s="10" t="e">
        <x:f>'[1]Raw data S-Side'!G5</x:f>
        <x:v>#REF!</x:v>
      </x:c>
      <x:c r="H5" s="10" t="e">
        <x:f>'[1]Raw data S-Side'!H5</x:f>
        <x:v>#REF!</x:v>
      </x:c>
      <x:c r="I5" s="10" t="s">
        <x:v>14</x:v>
      </x:c>
      <x:c r="J5" s="11"/>
      <x:c r="K5" s="10">
        <x:v>2</x:v>
      </x:c>
      <x:c r="L5" s="10">
        <x:v>0</x:v>
      </x:c>
      <x:c r="M5" s="12">
        <x:v>3.8</x:v>
      </x:c>
    </x:row>
    <x:row r="6" s="6" customFormat="1" ht="15" customHeight="1">
      <x:c r="A6" s="1"/>
      <x:c r="B6" s="9" t="s">
        <x:v>16</x:v>
      </x:c>
      <x:c r="C6" s="10" t="e">
        <x:f>'[1]Raw data S-Side'!C6</x:f>
        <x:v>#REF!</x:v>
      </x:c>
      <x:c r="D6" s="11" t="e">
        <x:f>'[1]Raw data S-Side'!D6</x:f>
        <x:v>#REF!</x:v>
      </x:c>
      <x:c r="E6" s="10" t="e">
        <x:f>'[1]Raw data S-Side'!E6</x:f>
        <x:v>#REF!</x:v>
      </x:c>
      <x:c r="F6" s="11" t="e">
        <x:f>'[1]Raw data S-Side'!F6</x:f>
        <x:v>#REF!</x:v>
      </x:c>
      <x:c r="G6" s="10" t="e">
        <x:f>'[1]Raw data S-Side'!G6</x:f>
        <x:v>#REF!</x:v>
      </x:c>
      <x:c r="H6" s="10" t="e">
        <x:f>'[1]Raw data S-Side'!H6</x:f>
        <x:v>#REF!</x:v>
      </x:c>
      <x:c r="I6" s="10" t="s">
        <x:v>14</x:v>
      </x:c>
      <x:c r="J6" s="11"/>
      <x:c r="K6" s="10">
        <x:v>4</x:v>
      </x:c>
      <x:c r="L6" s="10">
        <x:v>1</x:v>
      </x:c>
      <x:c r="M6" s="12">
        <x:v>3.5</x:v>
      </x:c>
    </x:row>
    <x:row r="7" s="6" customFormat="1" ht="15" customHeight="1">
      <x:c r="A7" s="1"/>
      <x:c r="B7" t="s">
        <x:v>17</x:v>
      </x:c>
      <x:c r="D7" s="3"/>
      <x:c r="E7" s="3"/>
      <x:c r="F7" s="3"/>
      <x:c r="G7" s="3"/>
      <x:c r="H7" s="4"/>
      <x:c r="I7" s="4"/>
      <x:c r="J7" s="4"/>
      <x:c r="K7" s="5"/>
      <x:c r="L7" s="5"/>
      <x:c r="M7" s="5"/>
      <x:c r="N7" s="5"/>
      <x:c r="O7" s="5"/>
      <x:c r="P7" s="5"/>
      <x:c r="Q7" s="3"/>
    </x:row>
    <x:row r="8" s="6" customFormat="1" ht="15" customHeight="1">
      <x:c r="A8" s="1"/>
      <x:c r="B8" t="s">
        <x:v>18</x:v>
      </x:c>
      <x:c r="C8" s="13"/>
      <x:c r="D8" s="3"/>
      <x:c r="E8" s="3"/>
      <x:c r="F8" s="3"/>
      <x:c r="G8" s="3"/>
      <x:c r="L8" t="s">
        <x:v>19</x:v>
      </x:c>
      <x:c r="N8" s="5"/>
      <x:c r="O8" s="5"/>
      <x:c r="P8" s="5"/>
      <x:c r="Q8" s="3"/>
    </x:row>
    <x:row r="9" ht="15" customHeight="1">
      <x:c r="B9" s="57" t="s">
        <x:v>20</x:v>
      </x:c>
      <x:c r="C9" s="57" t="s">
        <x:v>21</x:v>
      </x:c>
      <x:c r="D9" s="56" t="s">
        <x:v>22</x:v>
      </x:c>
      <x:c r="E9" s="9" t="s">
        <x:v>23</x:v>
      </x:c>
      <x:c r="F9" s="14" t="s">
        <x:v>24</x:v>
      </x:c>
      <x:c r="G9" s="9" t="s">
        <x:v>24</x:v>
      </x:c>
      <x:c r="H9" s="58" t="s">
        <x:v>25</x:v>
      </x:c>
      <x:c r="I9" s="15"/>
      <x:c r="J9" s="15"/>
      <x:c r="K9" s="59" t="s">
        <x:v>26</x:v>
      </x:c>
      <x:c r="L9" s="59"/>
      <x:c r="M9" s="59"/>
      <x:c r="N9" s="59"/>
      <x:c r="O9" s="59"/>
      <x:c r="P9" s="59"/>
      <x:c r="Q9" s="56" t="s">
        <x:v>27</x:v>
      </x:c>
      <x:c r="R9" s="16"/>
    </x:row>
    <x:row r="10" ht="28.799999237060547">
      <x:c r="B10" s="56"/>
      <x:c r="C10" s="56"/>
      <x:c r="D10" s="56"/>
      <x:c r="E10" s="7" t="s">
        <x:v>28</x:v>
      </x:c>
      <x:c r="F10" s="8" t="s">
        <x:v>29</x:v>
      </x:c>
      <x:c r="G10" s="8" t="s">
        <x:v>30</x:v>
      </x:c>
      <x:c r="H10" s="58"/>
      <x:c r="I10" s="15" t="s">
        <x:v>31</x:v>
      </x:c>
      <x:c r="J10" s="15" t="s">
        <x:v>32</x:v>
      </x:c>
      <x:c r="K10" s="17" t="s">
        <x:v>33</x:v>
      </x:c>
      <x:c r="L10" s="17" t="s">
        <x:v>34</x:v>
      </x:c>
      <x:c r="M10" s="17" t="s">
        <x:v>35</x:v>
      </x:c>
      <x:c r="N10" s="17" t="s">
        <x:v>36</x:v>
      </x:c>
      <x:c r="O10" s="17" t="s">
        <x:v>10</x:v>
      </x:c>
      <x:c r="P10" s="17" t="s">
        <x:v>37</x:v>
      </x:c>
      <x:c r="Q10" s="56"/>
      <x:c r="R10" s="16"/>
    </x:row>
    <x:row r="11">
      <x:c r="B11" s="18" t="s">
        <x:v>38</x:v>
      </x:c>
      <x:c r="C11" s="18" t="s">
        <x:v>47</x:v>
      </x:c>
      <x:c r="D11" s="19" t="str">
        <x:f>$B$1</x:f>
        <x:v>SD 1.1 x5NU(E) </x:v>
      </x:c>
      <x:c r="E11" s="20" t="s">
        <x:v>50</x:v>
      </x:c>
      <x:c r="F11" s="18">
        <x:v>60622</x:v>
      </x:c>
      <x:c r="G11" s="18">
        <x:v>51073</x:v>
      </x:c>
      <x:c r="H11" s="21">
        <x:v>0.36736111111111114</x:v>
      </x:c>
      <x:c r="I11" s="20">
        <x:v>6</x:v>
      </x:c>
      <x:c r="J11" s="20">
        <x:v>1</x:v>
      </x:c>
      <x:c r="K11" s="10">
        <x:v>0</x:v>
      </x:c>
      <x:c r="L11" s="10">
        <x:v>0</x:v>
      </x:c>
      <x:c r="M11" s="10">
        <x:v>9</x:v>
      </x:c>
      <x:c r="N11" s="10" t="n">
        <x:f>L11+M11</x:f>
        <x:v>9</x:v>
      </x:c>
      <x:c r="O11" s="10">
        <x:v>1</x:v>
      </x:c>
      <x:c r="P11" s="10">
        <x:v>0</x:v>
      </x:c>
      <x:c r="Q11" s="20" t="s">
        <x:v>41</x:v>
      </x:c>
    </x:row>
    <x:row r="12" s="16" customFormat="1">
      <x:c r="A12"/>
      <x:c r="B12" s="18"/>
      <x:c r="C12" s="18" t="s">
        <x:v>47</x:v>
      </x:c>
      <x:c r="D12" s="19" t="str">
        <x:f t="shared" ref="D12:D25" si="0">$B$1</x:f>
        <x:v>SD 1.1 x5NU(E) </x:v>
      </x:c>
      <x:c r="E12" s="20" t="s">
        <x:v>50</x:v>
      </x:c>
      <x:c r="F12" s="18">
        <x:v>60622</x:v>
      </x:c>
      <x:c r="G12" s="18">
        <x:v>51073</x:v>
      </x:c>
      <x:c r="H12" s="21">
        <x:v>0.36736111111111114</x:v>
      </x:c>
      <x:c r="I12" s="20">
        <x:v>3</x:v>
      </x:c>
      <x:c r="J12" s="20">
        <x:v>2</x:v>
      </x:c>
      <x:c r="K12" s="10">
        <x:v>0</x:v>
      </x:c>
      <x:c r="L12" s="10">
        <x:v>0</x:v>
      </x:c>
      <x:c r="M12" s="10">
        <x:v>0</x:v>
      </x:c>
      <x:c r="N12" s="10" t="n">
        <x:f>L12+M12</x:f>
        <x:v>0</x:v>
      </x:c>
      <x:c r="O12" s="10">
        <x:v>1</x:v>
      </x:c>
      <x:c r="P12" s="10">
        <x:v>0</x:v>
      </x:c>
      <x:c r="Q12" s="20" t="s">
        <x:v>42</x:v>
      </x:c>
      <x:c r="R12"/>
    </x:row>
    <x:row r="13" s="16" customFormat="1">
      <x:c r="A13"/>
      <x:c r="B13" s="18"/>
      <x:c r="C13" s="18" t="s">
        <x:v>47</x:v>
      </x:c>
      <x:c r="D13" s="19" t="str">
        <x:f t="shared" si="0"/>
        <x:v>SD 1.1 x5NU(E) </x:v>
      </x:c>
      <x:c r="E13" s="20" t="s">
        <x:v>50</x:v>
      </x:c>
      <x:c r="F13" s="18">
        <x:v>60622</x:v>
      </x:c>
      <x:c r="G13" s="18">
        <x:v>51073</x:v>
      </x:c>
      <x:c r="H13" s="21">
        <x:v>0.36736111111111114</x:v>
      </x:c>
      <x:c r="I13" s="20">
        <x:v>6</x:v>
      </x:c>
      <x:c r="J13" s="20">
        <x:v>3</x:v>
      </x:c>
      <x:c r="K13" s="10">
        <x:v>0</x:v>
      </x:c>
      <x:c r="L13" s="10">
        <x:v>0</x:v>
      </x:c>
      <x:c r="M13" s="10">
        <x:v>0</x:v>
      </x:c>
      <x:c r="N13" s="10" t="n">
        <x:f t="shared" ref="N13:N25" si="1">L13+M13</x:f>
        <x:v>0</x:v>
      </x:c>
      <x:c r="O13" s="10">
        <x:v>0</x:v>
      </x:c>
      <x:c r="P13" s="10">
        <x:v>0</x:v>
      </x:c>
      <x:c r="Q13" s="20" t="s">
        <x:v>41</x:v>
      </x:c>
      <x:c r="R13"/>
    </x:row>
    <x:row r="14" s="16" customFormat="1">
      <x:c r="A14"/>
      <x:c r="B14" s="20"/>
      <x:c r="C14" s="18" t="s">
        <x:v>47</x:v>
      </x:c>
      <x:c r="D14" s="19" t="str">
        <x:f t="shared" si="0"/>
        <x:v>SD 1.1 x5NU(E) </x:v>
      </x:c>
      <x:c r="E14" s="20" t="s">
        <x:v>50</x:v>
      </x:c>
      <x:c r="F14" s="18">
        <x:v>60622</x:v>
      </x:c>
      <x:c r="G14" s="18">
        <x:v>51073</x:v>
      </x:c>
      <x:c r="H14" s="21">
        <x:v>0.36736111111111114</x:v>
      </x:c>
      <x:c r="I14" s="20">
        <x:v>3</x:v>
      </x:c>
      <x:c r="J14" s="20">
        <x:v>4</x:v>
      </x:c>
      <x:c r="K14" s="10">
        <x:v>0</x:v>
      </x:c>
      <x:c r="L14" s="10">
        <x:v>0</x:v>
      </x:c>
      <x:c r="M14" s="10">
        <x:v>0</x:v>
      </x:c>
      <x:c r="N14" s="10">
        <x:f t="shared" si="1"/>
        <x:v>0</x:v>
      </x:c>
      <x:c r="O14" s="10">
        <x:v>0</x:v>
      </x:c>
      <x:c r="P14" s="10">
        <x:v>0</x:v>
      </x:c>
      <x:c r="Q14" s="20" t="s">
        <x:v>42</x:v>
      </x:c>
      <x:c r="R14"/>
    </x:row>
    <x:row r="15" s="16" customFormat="1">
      <x:c r="A15"/>
      <x:c r="B15" s="20"/>
      <x:c r="C15" s="18" t="s">
        <x:v>47</x:v>
      </x:c>
      <x:c r="D15" s="19" t="str">
        <x:f t="shared" si="0"/>
        <x:v>SD 1.1 x5NU(E) </x:v>
      </x:c>
      <x:c r="E15" s="20" t="s">
        <x:v>50</x:v>
      </x:c>
      <x:c r="F15" s="18">
        <x:v>60622</x:v>
      </x:c>
      <x:c r="G15" s="18">
        <x:v>51073</x:v>
      </x:c>
      <x:c r="H15" s="21">
        <x:v>0.36736111111111114</x:v>
      </x:c>
      <x:c r="I15" s="20">
        <x:v>6</x:v>
      </x:c>
      <x:c r="J15" s="20">
        <x:v>5</x:v>
      </x:c>
      <x:c r="K15" s="10">
        <x:v>0</x:v>
      </x:c>
      <x:c r="L15" s="10">
        <x:v>0</x:v>
      </x:c>
      <x:c r="M15" s="10">
        <x:v>4</x:v>
      </x:c>
      <x:c r="N15" s="10">
        <x:f t="shared" si="1"/>
        <x:v>4</x:v>
      </x:c>
      <x:c r="O15" s="10">
        <x:v>1</x:v>
      </x:c>
      <x:c r="P15" s="10">
        <x:v>0</x:v>
      </x:c>
      <x:c r="Q15" s="20" t="s">
        <x:v>41</x:v>
      </x:c>
      <x:c r="R15"/>
    </x:row>
    <x:row r="16" s="16" customFormat="1">
      <x:c r="A16"/>
      <x:c r="B16" s="20"/>
      <x:c r="C16" s="18" t="s">
        <x:v>47</x:v>
      </x:c>
      <x:c r="D16" s="19" t="str">
        <x:f t="shared" si="0"/>
        <x:v>SD 1.1 x5NU(E) </x:v>
      </x:c>
      <x:c r="E16" s="20" t="s">
        <x:v>50</x:v>
      </x:c>
      <x:c r="F16" s="18">
        <x:v>60622</x:v>
      </x:c>
      <x:c r="G16" s="18">
        <x:v>51073</x:v>
      </x:c>
      <x:c r="H16" s="21">
        <x:v>0.36736111111111114</x:v>
      </x:c>
      <x:c r="I16" s="20">
        <x:v>3</x:v>
      </x:c>
      <x:c r="J16" s="20">
        <x:v>6</x:v>
      </x:c>
      <x:c r="K16" s="10">
        <x:v>0</x:v>
      </x:c>
      <x:c r="L16" s="10">
        <x:v>0</x:v>
      </x:c>
      <x:c r="M16" s="10">
        <x:v>0</x:v>
      </x:c>
      <x:c r="N16" s="10">
        <x:f t="shared" si="1"/>
        <x:v>0</x:v>
      </x:c>
      <x:c r="O16" s="10">
        <x:v>0</x:v>
      </x:c>
      <x:c r="P16" s="10">
        <x:v>0</x:v>
      </x:c>
      <x:c r="Q16" s="20" t="s">
        <x:v>41</x:v>
      </x:c>
      <x:c r="R16"/>
    </x:row>
    <x:row r="17" s="16" customFormat="1">
      <x:c r="A17"/>
      <x:c r="B17" s="18"/>
      <x:c r="C17" s="18" t="s">
        <x:v>47</x:v>
      </x:c>
      <x:c r="D17" s="19" t="str">
        <x:f t="shared" si="0"/>
        <x:v>SD 1.1 x5NU(E) </x:v>
      </x:c>
      <x:c r="E17" s="20" t="s">
        <x:v>50</x:v>
      </x:c>
      <x:c r="F17" s="18">
        <x:v>60622</x:v>
      </x:c>
      <x:c r="G17" s="18">
        <x:v>51073</x:v>
      </x:c>
      <x:c r="H17" s="21">
        <x:v>0.36736111111111114</x:v>
      </x:c>
      <x:c r="I17" s="20">
        <x:v>6</x:v>
      </x:c>
      <x:c r="J17" s="20">
        <x:v>7</x:v>
      </x:c>
      <x:c r="K17" s="10">
        <x:v>0</x:v>
      </x:c>
      <x:c r="L17" s="10">
        <x:v>0</x:v>
      </x:c>
      <x:c r="M17" s="10">
        <x:v>0</x:v>
      </x:c>
      <x:c r="N17" s="10">
        <x:f t="shared" si="1"/>
        <x:v>0</x:v>
      </x:c>
      <x:c r="O17" s="10">
        <x:v>0</x:v>
      </x:c>
      <x:c r="P17" s="10">
        <x:v>0</x:v>
      </x:c>
      <x:c r="Q17" s="20" t="s">
        <x:v>41</x:v>
      </x:c>
      <x:c r="R17"/>
    </x:row>
    <x:row r="18" s="16" customFormat="1">
      <x:c r="A18"/>
      <x:c r="B18" s="18"/>
      <x:c r="C18" s="18" t="s">
        <x:v>47</x:v>
      </x:c>
      <x:c r="D18" s="19" t="str">
        <x:f t="shared" si="0"/>
        <x:v>SD 1.1 x5NU(E) </x:v>
      </x:c>
      <x:c r="E18" s="20" t="s">
        <x:v>50</x:v>
      </x:c>
      <x:c r="F18" s="18">
        <x:v>60622</x:v>
      </x:c>
      <x:c r="G18" s="18">
        <x:v>51073</x:v>
      </x:c>
      <x:c r="H18" s="21">
        <x:v>0.36736111111111114</x:v>
      </x:c>
      <x:c r="I18" s="20">
        <x:v>3</x:v>
      </x:c>
      <x:c r="J18" s="20">
        <x:v>8</x:v>
      </x:c>
      <x:c r="K18" s="10">
        <x:v>0</x:v>
      </x:c>
      <x:c r="L18" s="10">
        <x:v>0</x:v>
      </x:c>
      <x:c r="M18" s="10">
        <x:v>1</x:v>
      </x:c>
      <x:c r="N18" s="10">
        <x:f t="shared" si="1"/>
        <x:v>1</x:v>
      </x:c>
      <x:c r="O18" s="10">
        <x:v>0</x:v>
      </x:c>
      <x:c r="P18" s="10">
        <x:v>0</x:v>
      </x:c>
      <x:c r="Q18" s="20" t="s">
        <x:v>42</x:v>
      </x:c>
      <x:c r="R18"/>
    </x:row>
    <x:row r="19" s="16" customFormat="1">
      <x:c r="A19"/>
      <x:c r="B19" s="18"/>
      <x:c r="C19" s="18" t="s">
        <x:v>47</x:v>
      </x:c>
      <x:c r="D19" s="19" t="str">
        <x:f t="shared" si="0"/>
        <x:v>SD 1.1 x5NU(E) </x:v>
      </x:c>
      <x:c r="E19" s="20" t="s">
        <x:v>50</x:v>
      </x:c>
      <x:c r="F19" s="18">
        <x:v>60622</x:v>
      </x:c>
      <x:c r="G19" s="18">
        <x:v>51073</x:v>
      </x:c>
      <x:c r="H19" s="21">
        <x:v>0.36736111111111114</x:v>
      </x:c>
      <x:c r="I19" s="20">
        <x:v>6</x:v>
      </x:c>
      <x:c r="J19" s="20">
        <x:v>9</x:v>
      </x:c>
      <x:c r="K19" s="10">
        <x:v>0</x:v>
      </x:c>
      <x:c r="L19" s="10">
        <x:v>0</x:v>
      </x:c>
      <x:c r="M19" s="10">
        <x:v>1</x:v>
      </x:c>
      <x:c r="N19" s="10">
        <x:f t="shared" si="1"/>
        <x:v>1</x:v>
      </x:c>
      <x:c r="O19" s="10">
        <x:v>1</x:v>
      </x:c>
      <x:c r="P19" s="10">
        <x:v>0</x:v>
      </x:c>
      <x:c r="Q19" s="20" t="s">
        <x:v>41</x:v>
      </x:c>
      <x:c r="R19"/>
    </x:row>
    <x:row r="20" s="16" customFormat="1">
      <x:c r="A20"/>
      <x:c r="B20" s="20"/>
      <x:c r="C20" s="18" t="s">
        <x:v>47</x:v>
      </x:c>
      <x:c r="D20" s="19" t="str">
        <x:f t="shared" si="0"/>
        <x:v>SD 1.1 x5NU(E) </x:v>
      </x:c>
      <x:c r="E20" s="20" t="s">
        <x:v>50</x:v>
      </x:c>
      <x:c r="F20" s="18">
        <x:v>60622</x:v>
      </x:c>
      <x:c r="G20" s="18">
        <x:v>51073</x:v>
      </x:c>
      <x:c r="H20" s="21">
        <x:v>0.36736111111111114</x:v>
      </x:c>
      <x:c r="I20" s="20">
        <x:v>3</x:v>
      </x:c>
      <x:c r="J20" s="20">
        <x:v>10</x:v>
      </x:c>
      <x:c r="K20" s="10">
        <x:v>0</x:v>
      </x:c>
      <x:c r="L20" s="10">
        <x:v>0</x:v>
      </x:c>
      <x:c r="M20" s="10">
        <x:v>0</x:v>
      </x:c>
      <x:c r="N20" s="10">
        <x:f t="shared" si="1"/>
        <x:v>0</x:v>
      </x:c>
      <x:c r="O20" s="10">
        <x:v>0</x:v>
      </x:c>
      <x:c r="P20" s="10">
        <x:v>0</x:v>
      </x:c>
      <x:c r="Q20" s="20" t="s">
        <x:v>41</x:v>
      </x:c>
      <x:c r="R20"/>
    </x:row>
    <x:row r="21" s="16" customFormat="1">
      <x:c r="A21"/>
      <x:c r="B21" s="20"/>
      <x:c r="C21" s="18" t="s">
        <x:v>47</x:v>
      </x:c>
      <x:c r="D21" s="19" t="str">
        <x:f t="shared" si="0"/>
        <x:v>SD 1.1 x5NU(E) </x:v>
      </x:c>
      <x:c r="E21" s="20" t="s">
        <x:v>50</x:v>
      </x:c>
      <x:c r="F21" s="18">
        <x:v>60622</x:v>
      </x:c>
      <x:c r="G21" s="18">
        <x:v>51073</x:v>
      </x:c>
      <x:c r="H21" s="21">
        <x:v>0.36736111111111114</x:v>
      </x:c>
      <x:c r="I21" s="20">
        <x:v>6</x:v>
      </x:c>
      <x:c r="J21" s="20">
        <x:v>11</x:v>
      </x:c>
      <x:c r="K21" s="10">
        <x:v>0</x:v>
      </x:c>
      <x:c r="L21" s="10">
        <x:v>0</x:v>
      </x:c>
      <x:c r="M21" s="10">
        <x:v>0</x:v>
      </x:c>
      <x:c r="N21" s="10">
        <x:f t="shared" si="1"/>
        <x:v>0</x:v>
      </x:c>
      <x:c r="O21" s="10">
        <x:v>0</x:v>
      </x:c>
      <x:c r="P21" s="10">
        <x:v>0</x:v>
      </x:c>
      <x:c r="Q21" s="20" t="s">
        <x:v>42</x:v>
      </x:c>
      <x:c r="R21"/>
    </x:row>
    <x:row r="22" s="16" customFormat="1">
      <x:c r="A22"/>
      <x:c r="B22" s="20"/>
      <x:c r="C22" s="18" t="s">
        <x:v>47</x:v>
      </x:c>
      <x:c r="D22" s="19" t="str">
        <x:f t="shared" si="0"/>
        <x:v>SD 1.1 x5NU(E) </x:v>
      </x:c>
      <x:c r="E22" s="20" t="s">
        <x:v>50</x:v>
      </x:c>
      <x:c r="F22" s="18">
        <x:v>60622</x:v>
      </x:c>
      <x:c r="G22" s="18">
        <x:v>51073</x:v>
      </x:c>
      <x:c r="H22" s="21">
        <x:v>0.36736111111111114</x:v>
      </x:c>
      <x:c r="I22" s="20">
        <x:v>3</x:v>
      </x:c>
      <x:c r="J22" s="20">
        <x:v>12</x:v>
      </x:c>
      <x:c r="K22" s="10">
        <x:v>0</x:v>
      </x:c>
      <x:c r="L22" s="10">
        <x:v>0</x:v>
      </x:c>
      <x:c r="M22" s="10">
        <x:v>0</x:v>
      </x:c>
      <x:c r="N22" s="10">
        <x:f t="shared" si="1"/>
        <x:v>0</x:v>
      </x:c>
      <x:c r="O22" s="10">
        <x:v>0</x:v>
      </x:c>
      <x:c r="P22" s="10">
        <x:v>0</x:v>
      </x:c>
      <x:c r="Q22" s="20" t="s">
        <x:v>41</x:v>
      </x:c>
      <x:c r="R22"/>
    </x:row>
    <x:row r="23" s="16" customFormat="1" ht="15" customHeight="1">
      <x:c r="A23"/>
      <x:c r="B23" s="20"/>
      <x:c r="C23" s="18" t="s">
        <x:v>47</x:v>
      </x:c>
      <x:c r="D23" s="19" t="str">
        <x:f t="shared" si="0"/>
        <x:v>SD 1.1 x5NU(E) </x:v>
      </x:c>
      <x:c r="E23" s="20" t="s">
        <x:v>50</x:v>
      </x:c>
      <x:c r="F23" s="18">
        <x:v>60622</x:v>
      </x:c>
      <x:c r="G23" s="18">
        <x:v>51073</x:v>
      </x:c>
      <x:c r="H23" s="21">
        <x:v>0.36736111111111114</x:v>
      </x:c>
      <x:c r="I23" s="20">
        <x:v>6</x:v>
      </x:c>
      <x:c r="J23" s="20">
        <x:v>13</x:v>
      </x:c>
      <x:c r="K23" s="10">
        <x:v>0</x:v>
      </x:c>
      <x:c r="L23" s="10">
        <x:v>0</x:v>
      </x:c>
      <x:c r="M23" s="10">
        <x:v>0</x:v>
      </x:c>
      <x:c r="N23" s="10">
        <x:f t="shared" si="1"/>
        <x:v>0</x:v>
      </x:c>
      <x:c r="O23" s="10">
        <x:v>0</x:v>
      </x:c>
      <x:c r="P23" s="10">
        <x:v>0</x:v>
      </x:c>
      <x:c r="Q23" s="20" t="s">
        <x:v>42</x:v>
      </x:c>
      <x:c r="R23"/>
    </x:row>
    <x:row r="24" s="16" customFormat="1" ht="15" customHeight="1">
      <x:c r="A24"/>
      <x:c r="B24" s="20"/>
      <x:c r="C24" s="18" t="s">
        <x:v>47</x:v>
      </x:c>
      <x:c r="D24" s="19" t="str">
        <x:f t="shared" si="0"/>
        <x:v>SD 1.1 x5NU(E) </x:v>
      </x:c>
      <x:c r="E24" s="20" t="s">
        <x:v>50</x:v>
      </x:c>
      <x:c r="F24" s="18">
        <x:v>60622</x:v>
      </x:c>
      <x:c r="G24" s="18">
        <x:v>51073</x:v>
      </x:c>
      <x:c r="H24" s="21">
        <x:v>0.36736111111111114</x:v>
      </x:c>
      <x:c r="I24" s="20">
        <x:v>3</x:v>
      </x:c>
      <x:c r="J24" s="20">
        <x:v>14</x:v>
      </x:c>
      <x:c r="K24" s="10">
        <x:v>0</x:v>
      </x:c>
      <x:c r="L24" s="10">
        <x:v>0</x:v>
      </x:c>
      <x:c r="M24" s="10">
        <x:v>1</x:v>
      </x:c>
      <x:c r="N24" s="10">
        <x:f t="shared" si="1"/>
        <x:v>1</x:v>
      </x:c>
      <x:c r="O24" s="10">
        <x:v>0</x:v>
      </x:c>
      <x:c r="P24" s="10">
        <x:v>0</x:v>
      </x:c>
      <x:c r="Q24" s="20" t="s">
        <x:v>41</x:v>
      </x:c>
      <x:c r="R24"/>
    </x:row>
    <x:row r="25" s="16" customFormat="1" ht="15" customHeight="1">
      <x:c r="A25"/>
      <x:c r="B25" s="27"/>
      <x:c r="C25" s="25" t="s">
        <x:v>47</x:v>
      </x:c>
      <x:c r="D25" s="26" t="str">
        <x:f t="shared" si="0"/>
        <x:v>SD 1.1 x5NU(E) </x:v>
      </x:c>
      <x:c r="E25" s="27" t="s">
        <x:v>50</x:v>
      </x:c>
      <x:c r="F25" s="25">
        <x:v>60622</x:v>
      </x:c>
      <x:c r="G25" s="18">
        <x:v>51073</x:v>
      </x:c>
      <x:c r="H25" s="21">
        <x:v>0.36736111111111114</x:v>
      </x:c>
      <x:c r="I25" s="27">
        <x:v>6</x:v>
      </x:c>
      <x:c r="J25" s="27">
        <x:v>15</x:v>
      </x:c>
      <x:c r="K25" s="29">
        <x:v>0</x:v>
      </x:c>
      <x:c r="L25" s="29">
        <x:v>0</x:v>
      </x:c>
      <x:c r="M25" s="29">
        <x:v>2</x:v>
      </x:c>
      <x:c r="N25" s="29">
        <x:f t="shared" si="1"/>
        <x:v>2</x:v>
      </x:c>
      <x:c r="O25" s="29">
        <x:v>0</x:v>
      </x:c>
      <x:c r="P25" s="29">
        <x:v>0</x:v>
      </x:c>
      <x:c r="Q25" s="27" t="s">
        <x:v>42</x:v>
      </x:c>
      <x:c r="R25"/>
    </x:row>
    <x:row r="26" s="16" customFormat="1">
      <x:c r="A26"/>
      <x:c r="B26" s="31"/>
      <x:c r="C26" s="32"/>
      <x:c r="D26" s="33"/>
      <x:c r="E26" s="31"/>
      <x:c r="F26" s="32"/>
      <x:c r="G26" s="32"/>
      <x:c r="H26" s="34"/>
      <x:c r="I26" s="34"/>
      <x:c r="J26" s="31"/>
      <x:c r="K26" s="35"/>
      <x:c r="L26" s="35"/>
      <x:c r="M26" s="35"/>
      <x:c r="N26" s="35"/>
      <x:c r="O26" s="35"/>
      <x:c r="P26" s="35"/>
      <x:c r="Q26" s="31"/>
      <x:c r="R26"/>
    </x:row>
    <x:row r="27" s="16" customFormat="1">
      <x:c r="A27"/>
      <x:c r="F27" s="22"/>
      <x:c r="H27" s="23"/>
      <x:c r="I27" s="23"/>
      <x:c r="J27" s="23"/>
      <x:c r="K27" s="24"/>
      <x:c r="L27" s="24"/>
      <x:c r="M27" s="24"/>
      <x:c r="N27" s="24"/>
      <x:c r="O27" s="24"/>
      <x:c r="P27" s="24"/>
      <x:c r="R27"/>
    </x:row>
    <x:row r="28" s="16" customFormat="1">
      <x:c r="A28"/>
      <x:c r="F28" s="22"/>
      <x:c r="H28" s="23"/>
      <x:c r="I28" s="23"/>
      <x:c r="J28" s="23"/>
      <x:c r="K28" s="24"/>
      <x:c r="L28" s="24"/>
      <x:c r="M28" s="24"/>
      <x:c r="N28" s="24"/>
      <x:c r="O28" s="24"/>
      <x:c r="P28" s="24"/>
      <x:c r="R28"/>
    </x:row>
    <x:row r="29" s="16" customFormat="1">
      <x:c r="A29"/>
      <x:c r="B29" s="57" t="s">
        <x:v>20</x:v>
      </x:c>
      <x:c r="C29" s="57" t="s">
        <x:v>21</x:v>
      </x:c>
      <x:c r="D29" s="56" t="s">
        <x:v>22</x:v>
      </x:c>
      <x:c r="E29" s="9" t="s">
        <x:v>23</x:v>
      </x:c>
      <x:c r="F29" s="14" t="s">
        <x:v>24</x:v>
      </x:c>
      <x:c r="G29" s="9" t="s">
        <x:v>24</x:v>
      </x:c>
      <x:c r="H29" s="58" t="s">
        <x:v>25</x:v>
      </x:c>
      <x:c r="I29" s="15"/>
      <x:c r="J29" s="15"/>
      <x:c r="K29" s="59" t="s">
        <x:v>26</x:v>
      </x:c>
      <x:c r="L29" s="59"/>
      <x:c r="M29" s="59"/>
      <x:c r="N29" s="59"/>
      <x:c r="O29" s="59"/>
      <x:c r="P29" s="59"/>
      <x:c r="Q29" s="56" t="s">
        <x:v>27</x:v>
      </x:c>
      <x:c r="R29"/>
    </x:row>
    <x:row r="30" s="16" customFormat="1" ht="28.799999237060547">
      <x:c r="A30"/>
      <x:c r="B30" s="56"/>
      <x:c r="C30" s="56"/>
      <x:c r="D30" s="56"/>
      <x:c r="E30" s="7" t="s">
        <x:v>28</x:v>
      </x:c>
      <x:c r="F30" s="8" t="s">
        <x:v>29</x:v>
      </x:c>
      <x:c r="G30" s="8" t="s">
        <x:v>30</x:v>
      </x:c>
      <x:c r="H30" s="58"/>
      <x:c r="I30" s="15" t="s">
        <x:v>31</x:v>
      </x:c>
      <x:c r="J30" s="15" t="s">
        <x:v>32</x:v>
      </x:c>
      <x:c r="K30" s="17" t="s">
        <x:v>33</x:v>
      </x:c>
      <x:c r="L30" s="17" t="s">
        <x:v>34</x:v>
      </x:c>
      <x:c r="M30" s="17" t="s">
        <x:v>35</x:v>
      </x:c>
      <x:c r="N30" s="17" t="s">
        <x:v>36</x:v>
      </x:c>
      <x:c r="O30" s="17" t="s">
        <x:v>10</x:v>
      </x:c>
      <x:c r="P30" s="17" t="s">
        <x:v>37</x:v>
      </x:c>
      <x:c r="Q30" s="56"/>
      <x:c r="R30"/>
    </x:row>
    <x:row r="31" s="16" customFormat="1">
      <x:c r="A31"/>
      <x:c r="B31" s="18" t="s">
        <x:v>38</x:v>
      </x:c>
      <x:c r="C31" s="18" t="s">
        <x:v>47</x:v>
      </x:c>
      <x:c r="D31" s="19" t="str">
        <x:f>$B$1</x:f>
        <x:v>SD 1.1 x5NU(E) </x:v>
      </x:c>
      <x:c r="E31" s="20" t="s">
        <x:v>50</x:v>
      </x:c>
      <x:c r="F31" s="18">
        <x:v>60622</x:v>
      </x:c>
      <x:c r="G31" s="18">
        <x:v>51073</x:v>
      </x:c>
      <x:c r="H31" s="21">
        <x:v>0.36736111111111114</x:v>
      </x:c>
      <x:c r="I31" s="20">
        <x:v>3</x:v>
      </x:c>
      <x:c r="J31" s="20">
        <x:v>1</x:v>
      </x:c>
      <x:c r="K31" s="10">
        <x:v>0</x:v>
      </x:c>
      <x:c r="L31" s="10">
        <x:v>0</x:v>
      </x:c>
      <x:c r="M31" s="10">
        <x:v>0</x:v>
      </x:c>
      <x:c r="N31" s="10" t="n">
        <x:f>L31+M31</x:f>
        <x:v>0</x:v>
      </x:c>
      <x:c r="O31" s="10">
        <x:v>1</x:v>
      </x:c>
      <x:c r="P31" s="10">
        <x:v>0</x:v>
      </x:c>
      <x:c r="Q31" s="20" t="s">
        <x:v>43</x:v>
      </x:c>
      <x:c r="R31"/>
    </x:row>
    <x:row r="32" s="16" customFormat="1">
      <x:c r="A32"/>
      <x:c r="B32" s="18"/>
      <x:c r="C32" s="18" t="s">
        <x:v>47</x:v>
      </x:c>
      <x:c r="D32" s="19" t="str">
        <x:f t="shared" ref="D32:D45" si="2">$B$1</x:f>
        <x:v>SD 1.1 x5NU(E) </x:v>
      </x:c>
      <x:c r="E32" s="20" t="s">
        <x:v>50</x:v>
      </x:c>
      <x:c r="F32" s="18">
        <x:v>60622</x:v>
      </x:c>
      <x:c r="G32" s="18">
        <x:v>51073</x:v>
      </x:c>
      <x:c r="H32" s="21">
        <x:v>0.36736111111111114</x:v>
      </x:c>
      <x:c r="I32" s="20">
        <x:v>6</x:v>
      </x:c>
      <x:c r="J32" s="20">
        <x:v>2</x:v>
      </x:c>
      <x:c r="K32" s="10">
        <x:v>0</x:v>
      </x:c>
      <x:c r="L32" s="10">
        <x:v>0</x:v>
      </x:c>
      <x:c r="M32" s="10">
        <x:v>0</x:v>
      </x:c>
      <x:c r="N32" s="10" t="n">
        <x:f>L32+M32</x:f>
        <x:v>0</x:v>
      </x:c>
      <x:c r="O32" s="10">
        <x:v>1</x:v>
      </x:c>
      <x:c r="P32" s="10">
        <x:v>0</x:v>
      </x:c>
      <x:c r="Q32" s="20" t="s">
        <x:v>43</x:v>
      </x:c>
      <x:c r="R32"/>
    </x:row>
    <x:row r="33" s="16" customFormat="1">
      <x:c r="A33"/>
      <x:c r="B33" s="18"/>
      <x:c r="C33" s="18" t="s">
        <x:v>47</x:v>
      </x:c>
      <x:c r="D33" s="19" t="str">
        <x:f t="shared" si="2"/>
        <x:v>SD 1.1 x5NU(E) </x:v>
      </x:c>
      <x:c r="E33" s="20" t="s">
        <x:v>50</x:v>
      </x:c>
      <x:c r="F33" s="18">
        <x:v>60622</x:v>
      </x:c>
      <x:c r="G33" s="18">
        <x:v>51073</x:v>
      </x:c>
      <x:c r="H33" s="21">
        <x:v>0.36736111111111114</x:v>
      </x:c>
      <x:c r="I33" s="20">
        <x:v>3</x:v>
      </x:c>
      <x:c r="J33" s="20">
        <x:v>3</x:v>
      </x:c>
      <x:c r="K33" s="10">
        <x:v>0</x:v>
      </x:c>
      <x:c r="L33" s="10">
        <x:v>0</x:v>
      </x:c>
      <x:c r="M33" s="10">
        <x:v>0</x:v>
      </x:c>
      <x:c r="N33" s="10" t="n">
        <x:f t="shared" ref="N33:N45" si="3">L33+M33</x:f>
        <x:v>0</x:v>
      </x:c>
      <x:c r="O33" s="10">
        <x:v>0</x:v>
      </x:c>
      <x:c r="P33" s="10">
        <x:v>0</x:v>
      </x:c>
      <x:c r="Q33" s="20" t="s">
        <x:v>43</x:v>
      </x:c>
      <x:c r="R33"/>
    </x:row>
    <x:row r="34" s="16" customFormat="1">
      <x:c r="A34"/>
      <x:c r="B34" s="20"/>
      <x:c r="C34" s="18" t="s">
        <x:v>47</x:v>
      </x:c>
      <x:c r="D34" s="19" t="str">
        <x:f t="shared" si="2"/>
        <x:v>SD 1.1 x5NU(E) </x:v>
      </x:c>
      <x:c r="E34" s="20" t="s">
        <x:v>50</x:v>
      </x:c>
      <x:c r="F34" s="18">
        <x:v>60622</x:v>
      </x:c>
      <x:c r="G34" s="18">
        <x:v>51073</x:v>
      </x:c>
      <x:c r="H34" s="21">
        <x:v>0.36736111111111114</x:v>
      </x:c>
      <x:c r="I34" s="20">
        <x:v>6</x:v>
      </x:c>
      <x:c r="J34" s="20">
        <x:v>4</x:v>
      </x:c>
      <x:c r="K34" s="10">
        <x:v>0</x:v>
      </x:c>
      <x:c r="L34" s="10">
        <x:v>0</x:v>
      </x:c>
      <x:c r="M34" s="10">
        <x:v>5</x:v>
      </x:c>
      <x:c r="N34" s="10">
        <x:f t="shared" si="3"/>
        <x:v>5</x:v>
      </x:c>
      <x:c r="O34" s="10">
        <x:v>0</x:v>
      </x:c>
      <x:c r="P34" s="10">
        <x:v>0</x:v>
      </x:c>
      <x:c r="Q34" s="20" t="s">
        <x:v>43</x:v>
      </x:c>
      <x:c r="R34"/>
    </x:row>
    <x:row r="35" s="16" customFormat="1">
      <x:c r="A35"/>
      <x:c r="B35" s="20"/>
      <x:c r="C35" s="18" t="s">
        <x:v>47</x:v>
      </x:c>
      <x:c r="D35" s="19" t="str">
        <x:f t="shared" si="2"/>
        <x:v>SD 1.1 x5NU(E) </x:v>
      </x:c>
      <x:c r="E35" s="20" t="s">
        <x:v>50</x:v>
      </x:c>
      <x:c r="F35" s="18">
        <x:v>60622</x:v>
      </x:c>
      <x:c r="G35" s="18">
        <x:v>51073</x:v>
      </x:c>
      <x:c r="H35" s="21">
        <x:v>0.36736111111111114</x:v>
      </x:c>
      <x:c r="I35" s="20">
        <x:v>6</x:v>
      </x:c>
      <x:c r="J35" s="20">
        <x:v>5</x:v>
      </x:c>
      <x:c r="K35" s="10">
        <x:v>0</x:v>
      </x:c>
      <x:c r="L35" s="10">
        <x:v>0</x:v>
      </x:c>
      <x:c r="M35" s="10">
        <x:v>0</x:v>
      </x:c>
      <x:c r="N35" s="10">
        <x:f t="shared" si="3"/>
        <x:v>0</x:v>
      </x:c>
      <x:c r="O35" s="10">
        <x:v>1</x:v>
      </x:c>
      <x:c r="P35" s="10">
        <x:v>0</x:v>
      </x:c>
      <x:c r="Q35" s="20" t="s">
        <x:v>43</x:v>
      </x:c>
      <x:c r="R35"/>
    </x:row>
    <x:row r="36" s="16" customFormat="1">
      <x:c r="A36"/>
      <x:c r="B36" s="20"/>
      <x:c r="C36" s="18" t="s">
        <x:v>47</x:v>
      </x:c>
      <x:c r="D36" s="19" t="str">
        <x:f t="shared" si="2"/>
        <x:v>SD 1.1 x5NU(E) </x:v>
      </x:c>
      <x:c r="E36" s="20" t="s">
        <x:v>50</x:v>
      </x:c>
      <x:c r="F36" s="18">
        <x:v>60622</x:v>
      </x:c>
      <x:c r="G36" s="18">
        <x:v>51073</x:v>
      </x:c>
      <x:c r="H36" s="21">
        <x:v>0.36736111111111114</x:v>
      </x:c>
      <x:c r="I36" s="20">
        <x:v>3</x:v>
      </x:c>
      <x:c r="J36" s="20">
        <x:v>6</x:v>
      </x:c>
      <x:c r="K36" s="10">
        <x:v>0</x:v>
      </x:c>
      <x:c r="L36" s="10">
        <x:v>0</x:v>
      </x:c>
      <x:c r="M36" s="10">
        <x:v>5</x:v>
      </x:c>
      <x:c r="N36" s="10">
        <x:f t="shared" si="3"/>
        <x:v>5</x:v>
      </x:c>
      <x:c r="O36" s="10">
        <x:v>0</x:v>
      </x:c>
      <x:c r="P36" s="10">
        <x:v>0</x:v>
      </x:c>
      <x:c r="Q36" s="20" t="s">
        <x:v>43</x:v>
      </x:c>
      <x:c r="R36"/>
    </x:row>
    <x:row r="37" s="16" customFormat="1">
      <x:c r="A37"/>
      <x:c r="B37" s="18"/>
      <x:c r="C37" s="18" t="s">
        <x:v>47</x:v>
      </x:c>
      <x:c r="D37" s="19" t="str">
        <x:f t="shared" si="2"/>
        <x:v>SD 1.1 x5NU(E) </x:v>
      </x:c>
      <x:c r="E37" s="20" t="s">
        <x:v>50</x:v>
      </x:c>
      <x:c r="F37" s="18">
        <x:v>60622</x:v>
      </x:c>
      <x:c r="G37" s="18">
        <x:v>51073</x:v>
      </x:c>
      <x:c r="H37" s="21">
        <x:v>0.36736111111111114</x:v>
      </x:c>
      <x:c r="I37" s="20">
        <x:v>6</x:v>
      </x:c>
      <x:c r="J37" s="20">
        <x:v>7</x:v>
      </x:c>
      <x:c r="K37" s="10">
        <x:v>0</x:v>
      </x:c>
      <x:c r="L37" s="10">
        <x:v>0</x:v>
      </x:c>
      <x:c r="M37" s="10">
        <x:v>2</x:v>
      </x:c>
      <x:c r="N37" s="10" t="n">
        <x:f t="shared" ref="N37:N43" si="4">L37+M37</x:f>
        <x:v>2</x:v>
      </x:c>
      <x:c r="O37" s="10">
        <x:v>1</x:v>
      </x:c>
      <x:c r="P37" s="10">
        <x:v>0</x:v>
      </x:c>
      <x:c r="Q37" s="20" t="s">
        <x:v>43</x:v>
      </x:c>
      <x:c r="R37"/>
    </x:row>
    <x:row r="38" s="16" customFormat="1">
      <x:c r="A38"/>
      <x:c r="B38" s="18"/>
      <x:c r="C38" s="18" t="s">
        <x:v>47</x:v>
      </x:c>
      <x:c r="D38" s="19" t="str">
        <x:f t="shared" si="2"/>
        <x:v>SD 1.1 x5NU(E) </x:v>
      </x:c>
      <x:c r="E38" s="20" t="s">
        <x:v>50</x:v>
      </x:c>
      <x:c r="F38" s="18">
        <x:v>60622</x:v>
      </x:c>
      <x:c r="G38" s="18">
        <x:v>51073</x:v>
      </x:c>
      <x:c r="H38" s="21">
        <x:v>0.36736111111111114</x:v>
      </x:c>
      <x:c r="I38" s="20">
        <x:v>3</x:v>
      </x:c>
      <x:c r="J38" s="20">
        <x:v>8</x:v>
      </x:c>
      <x:c r="K38" s="10">
        <x:v>0</x:v>
      </x:c>
      <x:c r="L38" s="10">
        <x:v>0</x:v>
      </x:c>
      <x:c r="M38" s="10">
        <x:v>13</x:v>
      </x:c>
      <x:c r="N38" s="10">
        <x:f t="shared" si="4"/>
        <x:v>13</x:v>
      </x:c>
      <x:c r="O38" s="10">
        <x:v>0</x:v>
      </x:c>
      <x:c r="P38" s="10">
        <x:v>0</x:v>
      </x:c>
      <x:c r="Q38" s="20" t="s">
        <x:v>43</x:v>
      </x:c>
      <x:c r="R38"/>
    </x:row>
    <x:row r="39" s="16" customFormat="1">
      <x:c r="A39"/>
      <x:c r="B39" s="18"/>
      <x:c r="C39" s="18" t="s">
        <x:v>47</x:v>
      </x:c>
      <x:c r="D39" s="19" t="str">
        <x:f t="shared" si="2"/>
        <x:v>SD 1.1 x5NU(E) </x:v>
      </x:c>
      <x:c r="E39" s="20" t="s">
        <x:v>50</x:v>
      </x:c>
      <x:c r="F39" s="18">
        <x:v>60622</x:v>
      </x:c>
      <x:c r="G39" s="18">
        <x:v>51073</x:v>
      </x:c>
      <x:c r="H39" s="21">
        <x:v>0.36736111111111114</x:v>
      </x:c>
      <x:c r="I39" s="20">
        <x:v>6</x:v>
      </x:c>
      <x:c r="J39" s="20">
        <x:v>9</x:v>
      </x:c>
      <x:c r="K39" s="10">
        <x:v>0</x:v>
      </x:c>
      <x:c r="L39" s="10">
        <x:v>0</x:v>
      </x:c>
      <x:c r="M39" s="10">
        <x:v>0</x:v>
      </x:c>
      <x:c r="N39" s="10">
        <x:f t="shared" si="4"/>
        <x:v>0</x:v>
      </x:c>
      <x:c r="O39" s="10">
        <x:v>0</x:v>
      </x:c>
      <x:c r="P39" s="10">
        <x:v>0</x:v>
      </x:c>
      <x:c r="Q39" s="20" t="s">
        <x:v>43</x:v>
      </x:c>
      <x:c r="R39"/>
    </x:row>
    <x:row r="40" s="16" customFormat="1">
      <x:c r="A40"/>
      <x:c r="B40" s="20"/>
      <x:c r="C40" s="18" t="s">
        <x:v>47</x:v>
      </x:c>
      <x:c r="D40" s="19" t="str">
        <x:f t="shared" si="2"/>
        <x:v>SD 1.1 x5NU(E) </x:v>
      </x:c>
      <x:c r="E40" s="20" t="s">
        <x:v>50</x:v>
      </x:c>
      <x:c r="F40" s="18">
        <x:v>60622</x:v>
      </x:c>
      <x:c r="G40" s="18">
        <x:v>51073</x:v>
      </x:c>
      <x:c r="H40" s="21">
        <x:v>0.36736111111111114</x:v>
      </x:c>
      <x:c r="I40" s="20">
        <x:v>3</x:v>
      </x:c>
      <x:c r="J40" s="20">
        <x:v>10</x:v>
      </x:c>
      <x:c r="K40" s="10">
        <x:v>0</x:v>
      </x:c>
      <x:c r="L40" s="10">
        <x:v>0</x:v>
      </x:c>
      <x:c r="M40" s="10">
        <x:v>3</x:v>
      </x:c>
      <x:c r="N40" s="10">
        <x:f t="shared" si="4"/>
        <x:v>3</x:v>
      </x:c>
      <x:c r="O40" s="10">
        <x:v>0</x:v>
      </x:c>
      <x:c r="P40" s="10">
        <x:v>0</x:v>
      </x:c>
      <x:c r="Q40" s="20" t="s">
        <x:v>43</x:v>
      </x:c>
      <x:c r="R40"/>
    </x:row>
    <x:row r="41" s="16" customFormat="1">
      <x:c r="A41"/>
      <x:c r="B41" s="20"/>
      <x:c r="C41" s="18" t="s">
        <x:v>47</x:v>
      </x:c>
      <x:c r="D41" s="19" t="str">
        <x:f t="shared" si="2"/>
        <x:v>SD 1.1 x5NU(E) </x:v>
      </x:c>
      <x:c r="E41" s="20" t="s">
        <x:v>50</x:v>
      </x:c>
      <x:c r="F41" s="18">
        <x:v>60622</x:v>
      </x:c>
      <x:c r="G41" s="18">
        <x:v>51073</x:v>
      </x:c>
      <x:c r="H41" s="21">
        <x:v>0.36736111111111114</x:v>
      </x:c>
      <x:c r="I41" s="20">
        <x:v>6</x:v>
      </x:c>
      <x:c r="J41" s="20">
        <x:v>11</x:v>
      </x:c>
      <x:c r="K41" s="10">
        <x:v>0</x:v>
      </x:c>
      <x:c r="L41" s="10">
        <x:v>0</x:v>
      </x:c>
      <x:c r="M41" s="10">
        <x:v>0</x:v>
      </x:c>
      <x:c r="N41" s="10">
        <x:f t="shared" si="4"/>
        <x:v>0</x:v>
      </x:c>
      <x:c r="O41" s="10">
        <x:v>1</x:v>
      </x:c>
      <x:c r="P41" s="10">
        <x:v>0</x:v>
      </x:c>
      <x:c r="Q41" s="20" t="s">
        <x:v>43</x:v>
      </x:c>
      <x:c r="R41"/>
    </x:row>
    <x:row r="42" s="16" customFormat="1">
      <x:c r="A42"/>
      <x:c r="B42" s="20"/>
      <x:c r="C42" s="18" t="s">
        <x:v>47</x:v>
      </x:c>
      <x:c r="D42" s="19" t="str">
        <x:f t="shared" si="2"/>
        <x:v>SD 1.1 x5NU(E) </x:v>
      </x:c>
      <x:c r="E42" s="20" t="s">
        <x:v>50</x:v>
      </x:c>
      <x:c r="F42" s="18">
        <x:v>60622</x:v>
      </x:c>
      <x:c r="G42" s="18">
        <x:v>51073</x:v>
      </x:c>
      <x:c r="H42" s="21">
        <x:v>0.36736111111111114</x:v>
      </x:c>
      <x:c r="I42" s="20">
        <x:v>3</x:v>
      </x:c>
      <x:c r="J42" s="20">
        <x:v>12</x:v>
      </x:c>
      <x:c r="K42" s="10">
        <x:v>0</x:v>
      </x:c>
      <x:c r="L42" s="10">
        <x:v>0</x:v>
      </x:c>
      <x:c r="M42" s="10">
        <x:v>0</x:v>
      </x:c>
      <x:c r="N42" s="10">
        <x:f t="shared" si="4"/>
        <x:v>0</x:v>
      </x:c>
      <x:c r="O42" s="10">
        <x:v>0</x:v>
      </x:c>
      <x:c r="P42" s="10">
        <x:v>0</x:v>
      </x:c>
      <x:c r="Q42" s="20" t="s">
        <x:v>43</x:v>
      </x:c>
      <x:c r="R42"/>
    </x:row>
    <x:row r="43" s="16" customFormat="1">
      <x:c r="A43"/>
      <x:c r="B43" s="20"/>
      <x:c r="C43" s="18" t="s">
        <x:v>47</x:v>
      </x:c>
      <x:c r="D43" s="19" t="str">
        <x:f t="shared" si="2"/>
        <x:v>SD 1.1 x5NU(E) </x:v>
      </x:c>
      <x:c r="E43" s="20" t="s">
        <x:v>50</x:v>
      </x:c>
      <x:c r="F43" s="18">
        <x:v>60622</x:v>
      </x:c>
      <x:c r="G43" s="18">
        <x:v>51073</x:v>
      </x:c>
      <x:c r="H43" s="21">
        <x:v>0.36736111111111114</x:v>
      </x:c>
      <x:c r="I43" s="20">
        <x:v>6</x:v>
      </x:c>
      <x:c r="J43" s="20">
        <x:v>13</x:v>
      </x:c>
      <x:c r="K43" s="10">
        <x:v>0</x:v>
      </x:c>
      <x:c r="L43" s="10">
        <x:v>0</x:v>
      </x:c>
      <x:c r="M43" s="10">
        <x:v>1</x:v>
      </x:c>
      <x:c r="N43" s="10">
        <x:f t="shared" si="4"/>
        <x:v>1</x:v>
      </x:c>
      <x:c r="O43" s="10">
        <x:v>0</x:v>
      </x:c>
      <x:c r="P43" s="10">
        <x:v>0</x:v>
      </x:c>
      <x:c r="Q43" s="20" t="s">
        <x:v>43</x:v>
      </x:c>
      <x:c r="R43"/>
    </x:row>
    <x:row r="44" s="16" customFormat="1">
      <x:c r="A44"/>
      <x:c r="B44" s="20"/>
      <x:c r="C44" s="18" t="s">
        <x:v>47</x:v>
      </x:c>
      <x:c r="D44" s="19" t="str">
        <x:f t="shared" si="2"/>
        <x:v>SD 1.1 x5NU(E) </x:v>
      </x:c>
      <x:c r="E44" s="20" t="s">
        <x:v>50</x:v>
      </x:c>
      <x:c r="F44" s="18">
        <x:v>60622</x:v>
      </x:c>
      <x:c r="G44" s="18">
        <x:v>51073</x:v>
      </x:c>
      <x:c r="H44" s="21">
        <x:v>0.36736111111111114</x:v>
      </x:c>
      <x:c r="I44" s="20">
        <x:v>3</x:v>
      </x:c>
      <x:c r="J44" s="20">
        <x:v>14</x:v>
      </x:c>
      <x:c r="K44" s="10">
        <x:v>0</x:v>
      </x:c>
      <x:c r="L44" s="10">
        <x:v>0</x:v>
      </x:c>
      <x:c r="M44" s="10">
        <x:v>0</x:v>
      </x:c>
      <x:c r="N44" s="10">
        <x:f t="shared" si="3"/>
        <x:v>0</x:v>
      </x:c>
      <x:c r="O44" s="10">
        <x:v>0</x:v>
      </x:c>
      <x:c r="P44" s="10">
        <x:v>0</x:v>
      </x:c>
      <x:c r="Q44" s="20" t="s">
        <x:v>43</x:v>
      </x:c>
      <x:c r="R44"/>
    </x:row>
    <x:row r="45" s="16" customFormat="1">
      <x:c r="A45"/>
      <x:c r="B45" s="27"/>
      <x:c r="C45" s="25" t="s">
        <x:v>47</x:v>
      </x:c>
      <x:c r="D45" s="26" t="str">
        <x:f t="shared" si="2"/>
        <x:v>SD 1.1 x5NU(E) </x:v>
      </x:c>
      <x:c r="E45" s="27" t="s">
        <x:v>50</x:v>
      </x:c>
      <x:c r="F45" s="25">
        <x:v>60622</x:v>
      </x:c>
      <x:c r="G45" s="18">
        <x:v>51073</x:v>
      </x:c>
      <x:c r="H45" s="21">
        <x:v>0.36736111111111114</x:v>
      </x:c>
      <x:c r="I45" s="20">
        <x:v>6</x:v>
      </x:c>
      <x:c r="J45" s="20">
        <x:v>15</x:v>
      </x:c>
      <x:c r="K45" s="10">
        <x:v>0</x:v>
      </x:c>
      <x:c r="L45" s="10">
        <x:v>0</x:v>
      </x:c>
      <x:c r="M45" s="10">
        <x:v>0</x:v>
      </x:c>
      <x:c r="N45" s="10">
        <x:f t="shared" si="3"/>
        <x:v>0</x:v>
      </x:c>
      <x:c r="O45" s="10">
        <x:v>2</x:v>
      </x:c>
      <x:c r="P45" s="10">
        <x:v>0</x:v>
      </x:c>
      <x:c r="Q45" s="20" t="s">
        <x:v>43</x:v>
      </x:c>
      <x:c r="R45"/>
    </x:row>
    <x:row r="46" s="16" customFormat="1">
      <x:c r="A46"/>
      <x:c r="F46" s="22"/>
      <x:c r="H46" s="23"/>
      <x:c r="I46" s="23"/>
      <x:c r="J46" s="23"/>
      <x:c r="K46" s="24"/>
      <x:c r="L46" s="24"/>
      <x:c r="M46" s="24"/>
      <x:c r="N46" s="24"/>
      <x:c r="O46" s="24"/>
      <x:c r="P46" s="24"/>
      <x:c r="R46"/>
    </x:row>
    <x:row r="47" s="16" customFormat="1">
      <x:c r="A47"/>
      <x:c r="F47" s="22"/>
      <x:c r="H47" s="23"/>
      <x:c r="I47" s="23"/>
      <x:c r="J47" s="23"/>
      <x:c r="K47" s="24"/>
      <x:c r="L47" s="24"/>
      <x:c r="M47" s="24"/>
      <x:c r="N47" s="24"/>
      <x:c r="O47" s="24"/>
      <x:c r="P47" s="24"/>
      <x:c r="R47"/>
    </x:row>
    <x:row r="48" s="16" customFormat="1">
      <x:c r="A48"/>
      <x:c r="F48" s="22"/>
      <x:c r="H48" s="23"/>
      <x:c r="I48" s="23"/>
      <x:c r="J48" s="23"/>
      <x:c r="K48" s="24"/>
      <x:c r="L48" s="24"/>
      <x:c r="M48" s="24"/>
      <x:c r="N48" s="24"/>
      <x:c r="O48" s="24"/>
      <x:c r="P48" s="24"/>
      <x:c r="R48"/>
    </x:row>
    <x:row r="49" s="16" customFormat="1" ht="14.550000190734863" customHeight="1">
      <x:c r="A49"/>
      <x:c r="B49" s="57" t="s">
        <x:v>20</x:v>
      </x:c>
      <x:c r="C49" s="57" t="s">
        <x:v>21</x:v>
      </x:c>
      <x:c r="D49" s="56" t="s">
        <x:v>22</x:v>
      </x:c>
      <x:c r="E49" s="9" t="s">
        <x:v>23</x:v>
      </x:c>
      <x:c r="F49" s="14" t="s">
        <x:v>24</x:v>
      </x:c>
      <x:c r="G49" s="9" t="s">
        <x:v>24</x:v>
      </x:c>
      <x:c r="H49" s="58" t="s">
        <x:v>25</x:v>
      </x:c>
      <x:c r="I49" s="15"/>
      <x:c r="J49" s="15"/>
      <x:c r="K49" s="59" t="s">
        <x:v>26</x:v>
      </x:c>
      <x:c r="L49" s="59"/>
      <x:c r="M49" s="59"/>
      <x:c r="N49" s="59"/>
      <x:c r="O49" s="59"/>
      <x:c r="P49" s="59"/>
      <x:c r="Q49" s="56" t="s">
        <x:v>27</x:v>
      </x:c>
      <x:c r="R49"/>
    </x:row>
    <x:row r="50" s="16" customFormat="1" ht="28.799999237060547">
      <x:c r="A50"/>
      <x:c r="B50" s="56"/>
      <x:c r="C50" s="56"/>
      <x:c r="D50" s="56"/>
      <x:c r="E50" s="7" t="s">
        <x:v>28</x:v>
      </x:c>
      <x:c r="F50" s="8" t="s">
        <x:v>29</x:v>
      </x:c>
      <x:c r="G50" s="8" t="s">
        <x:v>30</x:v>
      </x:c>
      <x:c r="H50" s="58"/>
      <x:c r="I50" s="15" t="s">
        <x:v>31</x:v>
      </x:c>
      <x:c r="J50" s="15" t="s">
        <x:v>32</x:v>
      </x:c>
      <x:c r="K50" s="17" t="s">
        <x:v>33</x:v>
      </x:c>
      <x:c r="L50" s="17" t="s">
        <x:v>34</x:v>
      </x:c>
      <x:c r="M50" s="17" t="s">
        <x:v>35</x:v>
      </x:c>
      <x:c r="N50" s="17" t="s">
        <x:v>36</x:v>
      </x:c>
      <x:c r="O50" s="17" t="s">
        <x:v>10</x:v>
      </x:c>
      <x:c r="P50" s="17" t="s">
        <x:v>37</x:v>
      </x:c>
      <x:c r="Q50" s="56"/>
      <x:c r="R50"/>
    </x:row>
    <x:row r="51" s="16" customFormat="1">
      <x:c r="A51"/>
      <x:c r="B51" s="18" t="s">
        <x:v>38</x:v>
      </x:c>
      <x:c r="C51" s="18" t="s">
        <x:v>47</x:v>
      </x:c>
      <x:c r="D51" s="19" t="str">
        <x:f>$B$1</x:f>
        <x:v>SD 1.1 x5NU(E) </x:v>
      </x:c>
      <x:c r="E51" s="20" t="s">
        <x:v>50</x:v>
      </x:c>
      <x:c r="F51" s="18">
        <x:v>60622</x:v>
      </x:c>
      <x:c r="G51" s="18">
        <x:v>51073</x:v>
      </x:c>
      <x:c r="H51" s="21">
        <x:v>0.36736111111111114</x:v>
      </x:c>
      <x:c r="I51" s="20">
        <x:v>3</x:v>
      </x:c>
      <x:c r="J51" s="20">
        <x:v>1</x:v>
      </x:c>
      <x:c r="K51" s="10">
        <x:v>0</x:v>
      </x:c>
      <x:c r="L51" s="10">
        <x:v>0</x:v>
      </x:c>
      <x:c r="M51" s="10">
        <x:v>0</x:v>
      </x:c>
      <x:c r="N51" s="10" t="n">
        <x:f>L51+M51</x:f>
        <x:v>0</x:v>
      </x:c>
      <x:c r="O51" s="10">
        <x:v>0</x:v>
      </x:c>
      <x:c r="P51" s="10">
        <x:v>0</x:v>
      </x:c>
      <x:c r="Q51" s="20" t="s">
        <x:v>44</x:v>
      </x:c>
      <x:c r="R51"/>
    </x:row>
    <x:row r="52" s="16" customFormat="1">
      <x:c r="A52"/>
      <x:c r="B52" s="18"/>
      <x:c r="C52" s="18" t="s">
        <x:v>47</x:v>
      </x:c>
      <x:c r="D52" s="19" t="str">
        <x:f t="shared" ref="D52:D65" si="5">$B$1</x:f>
        <x:v>SD 1.1 x5NU(E) </x:v>
      </x:c>
      <x:c r="E52" s="20" t="s">
        <x:v>50</x:v>
      </x:c>
      <x:c r="F52" s="18">
        <x:v>60622</x:v>
      </x:c>
      <x:c r="G52" s="18">
        <x:v>51073</x:v>
      </x:c>
      <x:c r="H52" s="21">
        <x:v>0.36736111111111114</x:v>
      </x:c>
      <x:c r="I52" s="20">
        <x:v>6</x:v>
      </x:c>
      <x:c r="J52" s="20">
        <x:v>2</x:v>
      </x:c>
      <x:c r="K52" s="10">
        <x:v>0</x:v>
      </x:c>
      <x:c r="L52" s="10">
        <x:v>0</x:v>
      </x:c>
      <x:c r="M52" s="10">
        <x:v>0</x:v>
      </x:c>
      <x:c r="N52" s="10" t="n">
        <x:f>L52+M52</x:f>
        <x:v>0</x:v>
      </x:c>
      <x:c r="O52" s="10">
        <x:v>0</x:v>
      </x:c>
      <x:c r="P52" s="10">
        <x:v>0</x:v>
      </x:c>
      <x:c r="Q52" s="20" t="s">
        <x:v>44</x:v>
      </x:c>
      <x:c r="R52"/>
    </x:row>
    <x:row r="53" s="16" customFormat="1">
      <x:c r="A53"/>
      <x:c r="B53" s="18"/>
      <x:c r="C53" s="18" t="s">
        <x:v>47</x:v>
      </x:c>
      <x:c r="D53" s="19" t="str">
        <x:f t="shared" si="5"/>
        <x:v>SD 1.1 x5NU(E) </x:v>
      </x:c>
      <x:c r="E53" s="20" t="s">
        <x:v>50</x:v>
      </x:c>
      <x:c r="F53" s="18">
        <x:v>60622</x:v>
      </x:c>
      <x:c r="G53" s="18">
        <x:v>51073</x:v>
      </x:c>
      <x:c r="H53" s="21">
        <x:v>0.36736111111111114</x:v>
      </x:c>
      <x:c r="I53" s="20">
        <x:v>3</x:v>
      </x:c>
      <x:c r="J53" s="20">
        <x:v>3</x:v>
      </x:c>
      <x:c r="K53" s="10">
        <x:v>0</x:v>
      </x:c>
      <x:c r="L53" s="10">
        <x:v>0</x:v>
      </x:c>
      <x:c r="M53" s="10">
        <x:v>0</x:v>
      </x:c>
      <x:c r="N53" s="10" t="n">
        <x:f t="shared" ref="N53:N65" si="6">L53+M53</x:f>
        <x:v>0</x:v>
      </x:c>
      <x:c r="O53" s="10">
        <x:v>0</x:v>
      </x:c>
      <x:c r="P53" s="10">
        <x:v>0</x:v>
      </x:c>
      <x:c r="Q53" s="20" t="s">
        <x:v>44</x:v>
      </x:c>
      <x:c r="R53"/>
    </x:row>
    <x:row r="54" s="16" customFormat="1">
      <x:c r="A54"/>
      <x:c r="B54" s="20"/>
      <x:c r="C54" s="18" t="s">
        <x:v>47</x:v>
      </x:c>
      <x:c r="D54" s="19" t="str">
        <x:f t="shared" si="5"/>
        <x:v>SD 1.1 x5NU(E) </x:v>
      </x:c>
      <x:c r="E54" s="20" t="s">
        <x:v>50</x:v>
      </x:c>
      <x:c r="F54" s="18">
        <x:v>60622</x:v>
      </x:c>
      <x:c r="G54" s="18">
        <x:v>51073</x:v>
      </x:c>
      <x:c r="H54" s="21">
        <x:v>0.36736111111111114</x:v>
      </x:c>
      <x:c r="I54" s="20">
        <x:v>6</x:v>
      </x:c>
      <x:c r="J54" s="20">
        <x:v>4</x:v>
      </x:c>
      <x:c r="K54" s="10">
        <x:v>0</x:v>
      </x:c>
      <x:c r="L54" s="10">
        <x:v>0</x:v>
      </x:c>
      <x:c r="M54" s="10">
        <x:v>0</x:v>
      </x:c>
      <x:c r="N54" s="10">
        <x:f t="shared" si="6"/>
        <x:v>0</x:v>
      </x:c>
      <x:c r="O54" s="10">
        <x:v>1</x:v>
      </x:c>
      <x:c r="P54" s="10">
        <x:v>0</x:v>
      </x:c>
      <x:c r="Q54" s="20" t="s">
        <x:v>44</x:v>
      </x:c>
      <x:c r="R54"/>
    </x:row>
    <x:row r="55" s="16" customFormat="1">
      <x:c r="A55"/>
      <x:c r="B55" s="20"/>
      <x:c r="C55" s="18" t="s">
        <x:v>47</x:v>
      </x:c>
      <x:c r="D55" s="19" t="str">
        <x:f t="shared" si="5"/>
        <x:v>SD 1.1 x5NU(E) </x:v>
      </x:c>
      <x:c r="E55" s="20" t="s">
        <x:v>50</x:v>
      </x:c>
      <x:c r="F55" s="18">
        <x:v>60622</x:v>
      </x:c>
      <x:c r="G55" s="18">
        <x:v>51073</x:v>
      </x:c>
      <x:c r="H55" s="21">
        <x:v>0.36736111111111114</x:v>
      </x:c>
      <x:c r="I55" s="20">
        <x:v>3</x:v>
      </x:c>
      <x:c r="J55" s="20">
        <x:v>5</x:v>
      </x:c>
      <x:c r="K55" s="10">
        <x:v>0</x:v>
      </x:c>
      <x:c r="L55" s="10">
        <x:v>0</x:v>
      </x:c>
      <x:c r="M55" s="10">
        <x:v>30</x:v>
      </x:c>
      <x:c r="N55" s="10">
        <x:f t="shared" si="6"/>
        <x:v>30</x:v>
      </x:c>
      <x:c r="O55" s="10">
        <x:v>0</x:v>
      </x:c>
      <x:c r="P55" s="10">
        <x:v>0</x:v>
      </x:c>
      <x:c r="Q55" s="20" t="s">
        <x:v>44</x:v>
      </x:c>
      <x:c r="R55"/>
    </x:row>
    <x:row r="56" s="16" customFormat="1">
      <x:c r="A56"/>
      <x:c r="B56" s="20"/>
      <x:c r="C56" s="18" t="s">
        <x:v>47</x:v>
      </x:c>
      <x:c r="D56" s="19" t="str">
        <x:f t="shared" si="5"/>
        <x:v>SD 1.1 x5NU(E) </x:v>
      </x:c>
      <x:c r="E56" s="20" t="s">
        <x:v>50</x:v>
      </x:c>
      <x:c r="F56" s="18">
        <x:v>60622</x:v>
      </x:c>
      <x:c r="G56" s="18">
        <x:v>51073</x:v>
      </x:c>
      <x:c r="H56" s="21">
        <x:v>0.36736111111111114</x:v>
      </x:c>
      <x:c r="I56" s="20">
        <x:v>6</x:v>
      </x:c>
      <x:c r="J56" s="20">
        <x:v>6</x:v>
      </x:c>
      <x:c r="K56" s="10">
        <x:v>0</x:v>
      </x:c>
      <x:c r="L56" s="10">
        <x:v>0</x:v>
      </x:c>
      <x:c r="M56" s="10">
        <x:v>0</x:v>
      </x:c>
      <x:c r="N56" s="10">
        <x:f t="shared" si="6"/>
        <x:v>0</x:v>
      </x:c>
      <x:c r="O56" s="10">
        <x:v>0</x:v>
      </x:c>
      <x:c r="P56" s="10">
        <x:v>0</x:v>
      </x:c>
      <x:c r="Q56" s="20" t="s">
        <x:v>44</x:v>
      </x:c>
      <x:c r="R56"/>
    </x:row>
    <x:row r="57" s="16" customFormat="1">
      <x:c r="A57"/>
      <x:c r="B57" s="18"/>
      <x:c r="C57" s="18" t="s">
        <x:v>47</x:v>
      </x:c>
      <x:c r="D57" s="19" t="str">
        <x:f t="shared" si="5"/>
        <x:v>SD 1.1 x5NU(E) </x:v>
      </x:c>
      <x:c r="E57" s="20" t="s">
        <x:v>50</x:v>
      </x:c>
      <x:c r="F57" s="18">
        <x:v>60622</x:v>
      </x:c>
      <x:c r="G57" s="18">
        <x:v>51073</x:v>
      </x:c>
      <x:c r="H57" s="21">
        <x:v>0.36736111111111114</x:v>
      </x:c>
      <x:c r="I57" s="20">
        <x:v>3</x:v>
      </x:c>
      <x:c r="J57" s="20">
        <x:v>7</x:v>
      </x:c>
      <x:c r="K57" s="10">
        <x:v>0</x:v>
      </x:c>
      <x:c r="L57" s="10">
        <x:v>0</x:v>
      </x:c>
      <x:c r="M57" s="10">
        <x:v>0</x:v>
      </x:c>
      <x:c r="N57" s="10">
        <x:f t="shared" si="6"/>
        <x:v>0</x:v>
      </x:c>
      <x:c r="O57" s="10">
        <x:v>0</x:v>
      </x:c>
      <x:c r="P57" s="10">
        <x:v>0</x:v>
      </x:c>
      <x:c r="Q57" s="20" t="s">
        <x:v>44</x:v>
      </x:c>
      <x:c r="R57"/>
    </x:row>
    <x:row r="58" s="16" customFormat="1">
      <x:c r="A58"/>
      <x:c r="B58" s="18"/>
      <x:c r="C58" s="18" t="s">
        <x:v>47</x:v>
      </x:c>
      <x:c r="D58" s="19" t="str">
        <x:f t="shared" si="5"/>
        <x:v>SD 1.1 x5NU(E) </x:v>
      </x:c>
      <x:c r="E58" s="20" t="s">
        <x:v>50</x:v>
      </x:c>
      <x:c r="F58" s="18">
        <x:v>60622</x:v>
      </x:c>
      <x:c r="G58" s="18">
        <x:v>51073</x:v>
      </x:c>
      <x:c r="H58" s="21">
        <x:v>0.36736111111111114</x:v>
      </x:c>
      <x:c r="I58" s="20">
        <x:v>6</x:v>
      </x:c>
      <x:c r="J58" s="20">
        <x:v>8</x:v>
      </x:c>
      <x:c r="K58" s="10">
        <x:v>0</x:v>
      </x:c>
      <x:c r="L58" s="10">
        <x:v>0</x:v>
      </x:c>
      <x:c r="M58" s="10">
        <x:v>3</x:v>
      </x:c>
      <x:c r="N58" s="10">
        <x:f t="shared" si="6"/>
        <x:v>3</x:v>
      </x:c>
      <x:c r="O58" s="10">
        <x:v>0</x:v>
      </x:c>
      <x:c r="P58" s="10">
        <x:v>0</x:v>
      </x:c>
      <x:c r="Q58" s="20" t="s">
        <x:v>44</x:v>
      </x:c>
      <x:c r="R58"/>
    </x:row>
    <x:row r="59" s="16" customFormat="1">
      <x:c r="A59"/>
      <x:c r="B59" s="18"/>
      <x:c r="C59" s="18" t="s">
        <x:v>47</x:v>
      </x:c>
      <x:c r="D59" s="19" t="str">
        <x:f t="shared" si="5"/>
        <x:v>SD 1.1 x5NU(E) </x:v>
      </x:c>
      <x:c r="E59" s="20" t="s">
        <x:v>50</x:v>
      </x:c>
      <x:c r="F59" s="18">
        <x:v>60622</x:v>
      </x:c>
      <x:c r="G59" s="18">
        <x:v>51073</x:v>
      </x:c>
      <x:c r="H59" s="21">
        <x:v>0.36736111111111114</x:v>
      </x:c>
      <x:c r="I59" s="20">
        <x:v>3</x:v>
      </x:c>
      <x:c r="J59" s="20">
        <x:v>9</x:v>
      </x:c>
      <x:c r="K59" s="10">
        <x:v>0</x:v>
      </x:c>
      <x:c r="L59" s="10">
        <x:v>0</x:v>
      </x:c>
      <x:c r="M59" s="10">
        <x:v>0</x:v>
      </x:c>
      <x:c r="N59" s="10">
        <x:f t="shared" si="6"/>
        <x:v>0</x:v>
      </x:c>
      <x:c r="O59" s="10">
        <x:v>0</x:v>
      </x:c>
      <x:c r="P59" s="10">
        <x:v>0</x:v>
      </x:c>
      <x:c r="Q59" s="20" t="s">
        <x:v>44</x:v>
      </x:c>
      <x:c r="R59"/>
    </x:row>
    <x:row r="60" s="16" customFormat="1">
      <x:c r="A60"/>
      <x:c r="B60" s="20"/>
      <x:c r="C60" s="18" t="s">
        <x:v>47</x:v>
      </x:c>
      <x:c r="D60" s="19" t="str">
        <x:f t="shared" si="5"/>
        <x:v>SD 1.1 x5NU(E) </x:v>
      </x:c>
      <x:c r="E60" s="20" t="s">
        <x:v>50</x:v>
      </x:c>
      <x:c r="F60" s="18">
        <x:v>60622</x:v>
      </x:c>
      <x:c r="G60" s="18">
        <x:v>51073</x:v>
      </x:c>
      <x:c r="H60" s="21">
        <x:v>0.36736111111111114</x:v>
      </x:c>
      <x:c r="I60" s="20">
        <x:v>6</x:v>
      </x:c>
      <x:c r="J60" s="20">
        <x:v>10</x:v>
      </x:c>
      <x:c r="K60" s="10">
        <x:v>0</x:v>
      </x:c>
      <x:c r="L60" s="10">
        <x:v>0</x:v>
      </x:c>
      <x:c r="M60" s="10">
        <x:v>0</x:v>
      </x:c>
      <x:c r="N60" s="10" t="n">
        <x:f t="shared" ref="N60:N61" si="7">L60+M60</x:f>
        <x:v>0</x:v>
      </x:c>
      <x:c r="O60" s="10">
        <x:v>0</x:v>
      </x:c>
      <x:c r="P60" s="10">
        <x:v>0</x:v>
      </x:c>
      <x:c r="Q60" s="20" t="s">
        <x:v>44</x:v>
      </x:c>
      <x:c r="R60"/>
    </x:row>
    <x:row r="61" s="16" customFormat="1">
      <x:c r="A61"/>
      <x:c r="B61" s="20"/>
      <x:c r="C61" s="18" t="s">
        <x:v>47</x:v>
      </x:c>
      <x:c r="D61" s="19" t="str">
        <x:f t="shared" si="5"/>
        <x:v>SD 1.1 x5NU(E) </x:v>
      </x:c>
      <x:c r="E61" s="20" t="s">
        <x:v>50</x:v>
      </x:c>
      <x:c r="F61" s="18">
        <x:v>60622</x:v>
      </x:c>
      <x:c r="G61" s="18">
        <x:v>51073</x:v>
      </x:c>
      <x:c r="H61" s="21">
        <x:v>0.36736111111111114</x:v>
      </x:c>
      <x:c r="I61" s="20">
        <x:v>3</x:v>
      </x:c>
      <x:c r="J61" s="20">
        <x:v>11</x:v>
      </x:c>
      <x:c r="K61" s="10">
        <x:v>0</x:v>
      </x:c>
      <x:c r="L61" s="10">
        <x:v>0</x:v>
      </x:c>
      <x:c r="M61" s="10">
        <x:v>0</x:v>
      </x:c>
      <x:c r="N61" s="10">
        <x:f t="shared" si="7"/>
        <x:v>0</x:v>
      </x:c>
      <x:c r="O61" s="10">
        <x:v>0</x:v>
      </x:c>
      <x:c r="P61" s="10">
        <x:v>0</x:v>
      </x:c>
      <x:c r="Q61" s="20" t="s">
        <x:v>44</x:v>
      </x:c>
      <x:c r="R61"/>
    </x:row>
    <x:row r="62" s="16" customFormat="1">
      <x:c r="A62"/>
      <x:c r="B62" s="20"/>
      <x:c r="C62" s="18" t="s">
        <x:v>47</x:v>
      </x:c>
      <x:c r="D62" s="19" t="str">
        <x:f t="shared" si="5"/>
        <x:v>SD 1.1 x5NU(E) </x:v>
      </x:c>
      <x:c r="E62" s="20" t="s">
        <x:v>50</x:v>
      </x:c>
      <x:c r="F62" s="18">
        <x:v>60622</x:v>
      </x:c>
      <x:c r="G62" s="18">
        <x:v>51073</x:v>
      </x:c>
      <x:c r="H62" s="21">
        <x:v>0.36736111111111114</x:v>
      </x:c>
      <x:c r="I62" s="20">
        <x:v>6</x:v>
      </x:c>
      <x:c r="J62" s="20">
        <x:v>12</x:v>
      </x:c>
      <x:c r="K62" s="10">
        <x:v>0</x:v>
      </x:c>
      <x:c r="L62" s="10">
        <x:v>0</x:v>
      </x:c>
      <x:c r="M62" s="10">
        <x:v>0</x:v>
      </x:c>
      <x:c r="N62" s="10">
        <x:f t="shared" si="6"/>
        <x:v>0</x:v>
      </x:c>
      <x:c r="O62" s="10">
        <x:v>0</x:v>
      </x:c>
      <x:c r="P62" s="10">
        <x:v>0</x:v>
      </x:c>
      <x:c r="Q62" s="20" t="s">
        <x:v>44</x:v>
      </x:c>
      <x:c r="R62"/>
    </x:row>
    <x:row r="63" s="16" customFormat="1">
      <x:c r="A63"/>
      <x:c r="B63" s="20"/>
      <x:c r="C63" s="18" t="s">
        <x:v>47</x:v>
      </x:c>
      <x:c r="D63" s="19" t="str">
        <x:f t="shared" si="5"/>
        <x:v>SD 1.1 x5NU(E) </x:v>
      </x:c>
      <x:c r="E63" s="20" t="s">
        <x:v>50</x:v>
      </x:c>
      <x:c r="F63" s="18">
        <x:v>60622</x:v>
      </x:c>
      <x:c r="G63" s="18">
        <x:v>51073</x:v>
      </x:c>
      <x:c r="H63" s="21">
        <x:v>0.36736111111111114</x:v>
      </x:c>
      <x:c r="I63" s="20">
        <x:v>3</x:v>
      </x:c>
      <x:c r="J63" s="20">
        <x:v>13</x:v>
      </x:c>
      <x:c r="K63" s="10">
        <x:v>0</x:v>
      </x:c>
      <x:c r="L63" s="10">
        <x:v>0</x:v>
      </x:c>
      <x:c r="M63" s="10">
        <x:v>0</x:v>
      </x:c>
      <x:c r="N63" s="10">
        <x:f t="shared" si="6"/>
        <x:v>0</x:v>
      </x:c>
      <x:c r="O63" s="10">
        <x:v>1</x:v>
      </x:c>
      <x:c r="P63" s="10">
        <x:v>0</x:v>
      </x:c>
      <x:c r="Q63" s="20" t="s">
        <x:v>44</x:v>
      </x:c>
      <x:c r="R63"/>
    </x:row>
    <x:row r="64" s="16" customFormat="1">
      <x:c r="A64"/>
      <x:c r="B64" s="20"/>
      <x:c r="C64" s="18" t="s">
        <x:v>47</x:v>
      </x:c>
      <x:c r="D64" s="19" t="str">
        <x:f t="shared" si="5"/>
        <x:v>SD 1.1 x5NU(E) </x:v>
      </x:c>
      <x:c r="E64" s="20" t="s">
        <x:v>50</x:v>
      </x:c>
      <x:c r="F64" s="18">
        <x:v>60622</x:v>
      </x:c>
      <x:c r="G64" s="18">
        <x:v>51073</x:v>
      </x:c>
      <x:c r="H64" s="21">
        <x:v>0.36736111111111114</x:v>
      </x:c>
      <x:c r="I64" s="20">
        <x:v>6</x:v>
      </x:c>
      <x:c r="J64" s="20">
        <x:v>14</x:v>
      </x:c>
      <x:c r="K64" s="10">
        <x:v>0</x:v>
      </x:c>
      <x:c r="L64" s="10">
        <x:v>0</x:v>
      </x:c>
      <x:c r="M64" s="10">
        <x:v>0</x:v>
      </x:c>
      <x:c r="N64" s="10">
        <x:f t="shared" si="6"/>
        <x:v>0</x:v>
      </x:c>
      <x:c r="O64" s="10">
        <x:v>0</x:v>
      </x:c>
      <x:c r="P64" s="10">
        <x:v>0</x:v>
      </x:c>
      <x:c r="Q64" s="20" t="s">
        <x:v>44</x:v>
      </x:c>
      <x:c r="R64"/>
    </x:row>
    <x:row r="65" s="16" customFormat="1">
      <x:c r="A65"/>
      <x:c r="B65" s="27"/>
      <x:c r="C65" s="25" t="s">
        <x:v>47</x:v>
      </x:c>
      <x:c r="D65" s="26" t="str">
        <x:f t="shared" si="5"/>
        <x:v>SD 1.1 x5NU(E) </x:v>
      </x:c>
      <x:c r="E65" s="27" t="s">
        <x:v>50</x:v>
      </x:c>
      <x:c r="F65" s="25">
        <x:v>60622</x:v>
      </x:c>
      <x:c r="G65" s="18">
        <x:v>51073</x:v>
      </x:c>
      <x:c r="H65" s="21">
        <x:v>0.36736111111111114</x:v>
      </x:c>
      <x:c r="I65" s="20">
        <x:v>3</x:v>
      </x:c>
      <x:c r="J65" s="20">
        <x:v>15</x:v>
      </x:c>
      <x:c r="K65" s="10">
        <x:v>0</x:v>
      </x:c>
      <x:c r="L65" s="10">
        <x:v>0</x:v>
      </x:c>
      <x:c r="M65" s="10">
        <x:v>0</x:v>
      </x:c>
      <x:c r="N65" s="10">
        <x:f t="shared" si="6"/>
        <x:v>0</x:v>
      </x:c>
      <x:c r="O65" s="10">
        <x:v>1</x:v>
      </x:c>
      <x:c r="P65" s="10">
        <x:v>0</x:v>
      </x:c>
      <x:c r="Q65" s="20" t="s">
        <x:v>44</x:v>
      </x:c>
      <x:c r="R65"/>
    </x:row>
    <x:row r="66" s="16" customFormat="1">
      <x:c r="A66"/>
      <x:c r="F66" s="22"/>
      <x:c r="H66" s="23"/>
      <x:c r="I66" s="23"/>
      <x:c r="J66" s="23"/>
      <x:c r="K66" s="24"/>
      <x:c r="L66" s="24"/>
      <x:c r="M66" s="24"/>
      <x:c r="N66" s="24"/>
      <x:c r="O66" s="24"/>
      <x:c r="P66" s="24"/>
      <x:c r="R66"/>
    </x:row>
    <x:row r="67" s="16" customFormat="1">
      <x:c r="A67"/>
      <x:c r="F67" s="22"/>
      <x:c r="H67" s="23"/>
      <x:c r="I67" s="23"/>
      <x:c r="J67" s="23"/>
      <x:c r="K67" s="24"/>
      <x:c r="L67" s="24"/>
      <x:c r="M67" s="24"/>
      <x:c r="N67" s="24"/>
      <x:c r="O67" s="24"/>
      <x:c r="P67" s="24"/>
      <x:c r="R67"/>
    </x:row>
    <x:row r="68" s="16" customFormat="1">
      <x:c r="A68"/>
      <x:c r="B68" s="57" t="s">
        <x:v>20</x:v>
      </x:c>
      <x:c r="C68" s="57" t="s">
        <x:v>21</x:v>
      </x:c>
      <x:c r="D68" s="56" t="s">
        <x:v>22</x:v>
      </x:c>
      <x:c r="E68" s="9" t="s">
        <x:v>23</x:v>
      </x:c>
      <x:c r="F68" s="14" t="s">
        <x:v>24</x:v>
      </x:c>
      <x:c r="G68" s="9" t="s">
        <x:v>24</x:v>
      </x:c>
      <x:c r="H68" s="58" t="s">
        <x:v>25</x:v>
      </x:c>
      <x:c r="I68" s="15"/>
      <x:c r="J68" s="15"/>
      <x:c r="K68" s="59" t="s">
        <x:v>26</x:v>
      </x:c>
      <x:c r="L68" s="59"/>
      <x:c r="M68" s="59"/>
      <x:c r="N68" s="59"/>
      <x:c r="O68" s="59"/>
      <x:c r="P68" s="59"/>
      <x:c r="Q68" s="56" t="s">
        <x:v>27</x:v>
      </x:c>
      <x:c r="R68"/>
    </x:row>
    <x:row r="69" s="16" customFormat="1" ht="28.799999237060547">
      <x:c r="A69"/>
      <x:c r="B69" s="56"/>
      <x:c r="C69" s="56"/>
      <x:c r="D69" s="56"/>
      <x:c r="E69" s="7" t="s">
        <x:v>28</x:v>
      </x:c>
      <x:c r="F69" s="8" t="s">
        <x:v>29</x:v>
      </x:c>
      <x:c r="G69" s="8" t="s">
        <x:v>30</x:v>
      </x:c>
      <x:c r="H69" s="58"/>
      <x:c r="I69" s="15" t="s">
        <x:v>31</x:v>
      </x:c>
      <x:c r="J69" s="15" t="s">
        <x:v>32</x:v>
      </x:c>
      <x:c r="K69" s="17" t="s">
        <x:v>33</x:v>
      </x:c>
      <x:c r="L69" s="17" t="s">
        <x:v>34</x:v>
      </x:c>
      <x:c r="M69" s="17" t="s">
        <x:v>35</x:v>
      </x:c>
      <x:c r="N69" s="17" t="s">
        <x:v>36</x:v>
      </x:c>
      <x:c r="O69" s="17" t="s">
        <x:v>10</x:v>
      </x:c>
      <x:c r="P69" s="17" t="s">
        <x:v>37</x:v>
      </x:c>
      <x:c r="Q69" s="56"/>
      <x:c r="R69"/>
    </x:row>
    <x:row r="70" s="16" customFormat="1">
      <x:c r="A70"/>
      <x:c r="B70" s="18" t="s">
        <x:v>38</x:v>
      </x:c>
      <x:c r="C70" s="18" t="s">
        <x:v>47</x:v>
      </x:c>
      <x:c r="D70" s="19" t="str">
        <x:f>$B$1</x:f>
        <x:v>SD 1.1 x5NU(E) </x:v>
      </x:c>
      <x:c r="E70" s="20" t="s">
        <x:v>50</x:v>
      </x:c>
      <x:c r="F70" s="18">
        <x:v>60622</x:v>
      </x:c>
      <x:c r="G70" s="18">
        <x:v>51073</x:v>
      </x:c>
      <x:c r="H70" s="21">
        <x:v>0.36736111111111114</x:v>
      </x:c>
      <x:c r="I70" s="20">
        <x:v>3</x:v>
      </x:c>
      <x:c r="J70" s="20">
        <x:v>1</x:v>
      </x:c>
      <x:c r="K70" s="10">
        <x:v>0</x:v>
      </x:c>
      <x:c r="L70" s="10">
        <x:v>0</x:v>
      </x:c>
      <x:c r="M70" s="10">
        <x:v>0</x:v>
      </x:c>
      <x:c r="N70" s="10">
        <x:v>0</x:v>
      </x:c>
      <x:c r="O70" s="10">
        <x:v>0</x:v>
      </x:c>
      <x:c r="P70" s="10">
        <x:v>0</x:v>
      </x:c>
      <x:c r="Q70" s="20" t="s">
        <x:v>45</x:v>
      </x:c>
      <x:c r="R70"/>
    </x:row>
    <x:row r="71" s="16" customFormat="1">
      <x:c r="A71"/>
      <x:c r="B71" s="18"/>
      <x:c r="C71" s="18" t="s">
        <x:v>47</x:v>
      </x:c>
      <x:c r="D71" s="19" t="str">
        <x:f t="shared" ref="D71:D84" si="8">$B$1</x:f>
        <x:v>SD 1.1 x5NU(E) </x:v>
      </x:c>
      <x:c r="E71" s="20" t="s">
        <x:v>50</x:v>
      </x:c>
      <x:c r="F71" s="18">
        <x:v>60622</x:v>
      </x:c>
      <x:c r="G71" s="18">
        <x:v>51073</x:v>
      </x:c>
      <x:c r="H71" s="21">
        <x:v>0.36736111111111114</x:v>
      </x:c>
      <x:c r="I71" s="20">
        <x:v>6</x:v>
      </x:c>
      <x:c r="J71" s="20">
        <x:v>2</x:v>
      </x:c>
      <x:c r="K71" s="10">
        <x:v>0</x:v>
      </x:c>
      <x:c r="L71" s="10">
        <x:v>0</x:v>
      </x:c>
      <x:c r="M71" s="10">
        <x:v>0</x:v>
      </x:c>
      <x:c r="N71" s="10">
        <x:v>0</x:v>
      </x:c>
      <x:c r="O71" s="10">
        <x:v>0</x:v>
      </x:c>
      <x:c r="P71" s="10">
        <x:v>0</x:v>
      </x:c>
      <x:c r="Q71" s="20" t="s">
        <x:v>45</x:v>
      </x:c>
      <x:c r="R71"/>
    </x:row>
    <x:row r="72" s="16" customFormat="1">
      <x:c r="A72"/>
      <x:c r="B72" s="18"/>
      <x:c r="C72" s="18" t="s">
        <x:v>47</x:v>
      </x:c>
      <x:c r="D72" s="19" t="str">
        <x:f t="shared" si="8"/>
        <x:v>SD 1.1 x5NU(E) </x:v>
      </x:c>
      <x:c r="E72" s="20" t="s">
        <x:v>50</x:v>
      </x:c>
      <x:c r="F72" s="18">
        <x:v>60622</x:v>
      </x:c>
      <x:c r="G72" s="18">
        <x:v>51073</x:v>
      </x:c>
      <x:c r="H72" s="21">
        <x:v>0.36736111111111114</x:v>
      </x:c>
      <x:c r="I72" s="20">
        <x:v>3</x:v>
      </x:c>
      <x:c r="J72" s="20">
        <x:v>3</x:v>
      </x:c>
      <x:c r="K72" s="10">
        <x:v>0</x:v>
      </x:c>
      <x:c r="L72" s="10">
        <x:v>0</x:v>
      </x:c>
      <x:c r="M72" s="10">
        <x:v>0</x:v>
      </x:c>
      <x:c r="N72" s="10">
        <x:v>0</x:v>
      </x:c>
      <x:c r="O72" s="10">
        <x:v>1</x:v>
      </x:c>
      <x:c r="P72" s="10">
        <x:v>0</x:v>
      </x:c>
      <x:c r="Q72" s="20" t="s">
        <x:v>45</x:v>
      </x:c>
      <x:c r="R72"/>
    </x:row>
    <x:row r="73" s="16" customFormat="1">
      <x:c r="A73"/>
      <x:c r="B73" s="20"/>
      <x:c r="C73" s="18" t="s">
        <x:v>47</x:v>
      </x:c>
      <x:c r="D73" s="19" t="str">
        <x:f t="shared" si="8"/>
        <x:v>SD 1.1 x5NU(E) </x:v>
      </x:c>
      <x:c r="E73" s="20" t="s">
        <x:v>50</x:v>
      </x:c>
      <x:c r="F73" s="18">
        <x:v>60622</x:v>
      </x:c>
      <x:c r="G73" s="18">
        <x:v>51073</x:v>
      </x:c>
      <x:c r="H73" s="21">
        <x:v>0.36736111111111114</x:v>
      </x:c>
      <x:c r="I73" s="20">
        <x:v>6</x:v>
      </x:c>
      <x:c r="J73" s="20">
        <x:v>4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20" t="s">
        <x:v>45</x:v>
      </x:c>
      <x:c r="R73"/>
    </x:row>
    <x:row r="74" s="16" customFormat="1">
      <x:c r="A74"/>
      <x:c r="B74" s="20"/>
      <x:c r="C74" s="18" t="s">
        <x:v>47</x:v>
      </x:c>
      <x:c r="D74" s="19" t="str">
        <x:f t="shared" si="8"/>
        <x:v>SD 1.1 x5NU(E) </x:v>
      </x:c>
      <x:c r="E74" s="20" t="s">
        <x:v>50</x:v>
      </x:c>
      <x:c r="F74" s="18">
        <x:v>60622</x:v>
      </x:c>
      <x:c r="G74" s="18">
        <x:v>51073</x:v>
      </x:c>
      <x:c r="H74" s="21">
        <x:v>0.36736111111111114</x:v>
      </x:c>
      <x:c r="I74" s="20">
        <x:v>3</x:v>
      </x:c>
      <x:c r="J74" s="20">
        <x:v>5</x:v>
      </x:c>
      <x:c r="K74" s="10">
        <x:v>0</x:v>
      </x:c>
      <x:c r="L74" s="10">
        <x:v>0</x:v>
      </x:c>
      <x:c r="M74" s="10">
        <x:v>0</x:v>
      </x:c>
      <x:c r="N74" s="10">
        <x:v>0</x:v>
      </x:c>
      <x:c r="O74" s="10">
        <x:v>0</x:v>
      </x:c>
      <x:c r="P74" s="10">
        <x:v>0</x:v>
      </x:c>
      <x:c r="Q74" s="20" t="s">
        <x:v>45</x:v>
      </x:c>
      <x:c r="R74"/>
    </x:row>
    <x:row r="75" s="16" customFormat="1">
      <x:c r="A75"/>
      <x:c r="B75" s="20"/>
      <x:c r="C75" s="18" t="s">
        <x:v>47</x:v>
      </x:c>
      <x:c r="D75" s="19" t="str">
        <x:f t="shared" si="8"/>
        <x:v>SD 1.1 x5NU(E) </x:v>
      </x:c>
      <x:c r="E75" s="20" t="s">
        <x:v>50</x:v>
      </x:c>
      <x:c r="F75" s="18">
        <x:v>60622</x:v>
      </x:c>
      <x:c r="G75" s="18">
        <x:v>51073</x:v>
      </x:c>
      <x:c r="H75" s="21">
        <x:v>0.36736111111111114</x:v>
      </x:c>
      <x:c r="I75" s="20">
        <x:v>6</x:v>
      </x:c>
      <x:c r="J75" s="20">
        <x:v>6</x:v>
      </x:c>
      <x:c r="K75" s="10">
        <x:v>0</x:v>
      </x:c>
      <x:c r="L75" s="10">
        <x:v>0</x:v>
      </x:c>
      <x:c r="M75" s="10">
        <x:v>0</x:v>
      </x:c>
      <x:c r="N75" s="10">
        <x:v>0</x:v>
      </x:c>
      <x:c r="O75" s="10">
        <x:v>0</x:v>
      </x:c>
      <x:c r="P75" s="10">
        <x:v>0</x:v>
      </x:c>
      <x:c r="Q75" s="20" t="s">
        <x:v>45</x:v>
      </x:c>
      <x:c r="R75"/>
    </x:row>
    <x:row r="76" s="16" customFormat="1">
      <x:c r="A76"/>
      <x:c r="B76" s="18"/>
      <x:c r="C76" s="18" t="s">
        <x:v>47</x:v>
      </x:c>
      <x:c r="D76" s="19" t="str">
        <x:f t="shared" si="8"/>
        <x:v>SD 1.1 x5NU(E) </x:v>
      </x:c>
      <x:c r="E76" s="20" t="s">
        <x:v>50</x:v>
      </x:c>
      <x:c r="F76" s="18">
        <x:v>60622</x:v>
      </x:c>
      <x:c r="G76" s="18">
        <x:v>51073</x:v>
      </x:c>
      <x:c r="H76" s="21">
        <x:v>0.36736111111111114</x:v>
      </x:c>
      <x:c r="I76" s="20">
        <x:v>3</x:v>
      </x:c>
      <x:c r="J76" s="20">
        <x:v>7</x:v>
      </x:c>
      <x:c r="K76" s="10">
        <x:v>0</x:v>
      </x:c>
      <x:c r="L76" s="10">
        <x:v>0</x:v>
      </x:c>
      <x:c r="M76" s="10">
        <x:v>0</x:v>
      </x:c>
      <x:c r="N76" s="10">
        <x:v>0</x:v>
      </x:c>
      <x:c r="O76" s="10">
        <x:v>0</x:v>
      </x:c>
      <x:c r="P76" s="10">
        <x:v>0</x:v>
      </x:c>
      <x:c r="Q76" s="20" t="s">
        <x:v>45</x:v>
      </x:c>
      <x:c r="R76"/>
    </x:row>
    <x:row r="77" s="16" customFormat="1">
      <x:c r="A77"/>
      <x:c r="B77" s="18"/>
      <x:c r="C77" s="18" t="s">
        <x:v>47</x:v>
      </x:c>
      <x:c r="D77" s="19" t="str">
        <x:f t="shared" si="8"/>
        <x:v>SD 1.1 x5NU(E) </x:v>
      </x:c>
      <x:c r="E77" s="20" t="s">
        <x:v>50</x:v>
      </x:c>
      <x:c r="F77" s="18">
        <x:v>60622</x:v>
      </x:c>
      <x:c r="G77" s="18">
        <x:v>51073</x:v>
      </x:c>
      <x:c r="H77" s="21">
        <x:v>0.36736111111111114</x:v>
      </x:c>
      <x:c r="I77" s="20">
        <x:v>6</x:v>
      </x:c>
      <x:c r="J77" s="20">
        <x:v>8</x:v>
      </x:c>
      <x:c r="K77" s="10">
        <x:v>0</x:v>
      </x:c>
      <x:c r="L77" s="10">
        <x:v>0</x:v>
      </x:c>
      <x:c r="M77" s="10">
        <x:v>0</x:v>
      </x:c>
      <x:c r="N77" s="10">
        <x:v>0</x:v>
      </x:c>
      <x:c r="O77" s="10">
        <x:v>0</x:v>
      </x:c>
      <x:c r="P77" s="10">
        <x:v>0</x:v>
      </x:c>
      <x:c r="Q77" s="20" t="s">
        <x:v>45</x:v>
      </x:c>
      <x:c r="R77"/>
    </x:row>
    <x:row r="78" s="16" customFormat="1">
      <x:c r="A78"/>
      <x:c r="B78" s="18"/>
      <x:c r="C78" s="18" t="s">
        <x:v>47</x:v>
      </x:c>
      <x:c r="D78" s="19" t="str">
        <x:f t="shared" si="8"/>
        <x:v>SD 1.1 x5NU(E) </x:v>
      </x:c>
      <x:c r="E78" s="20" t="s">
        <x:v>50</x:v>
      </x:c>
      <x:c r="F78" s="18">
        <x:v>60622</x:v>
      </x:c>
      <x:c r="G78" s="18">
        <x:v>51073</x:v>
      </x:c>
      <x:c r="H78" s="21">
        <x:v>0.36736111111111114</x:v>
      </x:c>
      <x:c r="I78" s="20">
        <x:v>3</x:v>
      </x:c>
      <x:c r="J78" s="20">
        <x:v>9</x:v>
      </x:c>
      <x:c r="K78" s="10">
        <x:v>0</x:v>
      </x:c>
      <x:c r="L78" s="10">
        <x:v>0</x:v>
      </x:c>
      <x:c r="M78" s="10">
        <x:v>0</x:v>
      </x:c>
      <x:c r="N78" s="10">
        <x:v>0</x:v>
      </x:c>
      <x:c r="O78" s="10">
        <x:v>0</x:v>
      </x:c>
      <x:c r="P78" s="10">
        <x:v>0</x:v>
      </x:c>
      <x:c r="Q78" s="20" t="s">
        <x:v>45</x:v>
      </x:c>
      <x:c r="R78"/>
    </x:row>
    <x:row r="79" s="16" customFormat="1">
      <x:c r="A79"/>
      <x:c r="B79" s="20"/>
      <x:c r="C79" s="18" t="s">
        <x:v>47</x:v>
      </x:c>
      <x:c r="D79" s="19" t="str">
        <x:f t="shared" si="8"/>
        <x:v>SD 1.1 x5NU(E) </x:v>
      </x:c>
      <x:c r="E79" s="20" t="s">
        <x:v>50</x:v>
      </x:c>
      <x:c r="F79" s="18">
        <x:v>60622</x:v>
      </x:c>
      <x:c r="G79" s="18">
        <x:v>51073</x:v>
      </x:c>
      <x:c r="H79" s="21">
        <x:v>0.36736111111111114</x:v>
      </x:c>
      <x:c r="I79" s="20">
        <x:v>6</x:v>
      </x:c>
      <x:c r="J79" s="20">
        <x:v>10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20" t="s">
        <x:v>45</x:v>
      </x:c>
      <x:c r="R79"/>
    </x:row>
    <x:row r="80" s="16" customFormat="1">
      <x:c r="A80"/>
      <x:c r="B80" s="20"/>
      <x:c r="C80" s="18" t="s">
        <x:v>47</x:v>
      </x:c>
      <x:c r="D80" s="19" t="str">
        <x:f t="shared" si="8"/>
        <x:v>SD 1.1 x5NU(E) </x:v>
      </x:c>
      <x:c r="E80" s="20" t="s">
        <x:v>50</x:v>
      </x:c>
      <x:c r="F80" s="18">
        <x:v>60622</x:v>
      </x:c>
      <x:c r="G80" s="18">
        <x:v>51073</x:v>
      </x:c>
      <x:c r="H80" s="21">
        <x:v>0.36736111111111114</x:v>
      </x:c>
      <x:c r="I80" s="20">
        <x:v>3</x:v>
      </x:c>
      <x:c r="J80" s="20">
        <x:v>11</x:v>
      </x:c>
      <x:c r="K80" s="10">
        <x:v>0</x:v>
      </x:c>
      <x:c r="L80" s="10">
        <x:v>0</x:v>
      </x:c>
      <x:c r="M80" s="10">
        <x:v>0</x:v>
      </x:c>
      <x:c r="N80" s="10">
        <x:v>0</x:v>
      </x:c>
      <x:c r="O80" s="10">
        <x:v>0</x:v>
      </x:c>
      <x:c r="P80" s="10">
        <x:v>0</x:v>
      </x:c>
      <x:c r="Q80" s="20" t="s">
        <x:v>45</x:v>
      </x:c>
      <x:c r="R80"/>
    </x:row>
    <x:row r="81" s="16" customFormat="1">
      <x:c r="A81"/>
      <x:c r="B81" s="20"/>
      <x:c r="C81" s="18" t="s">
        <x:v>47</x:v>
      </x:c>
      <x:c r="D81" s="19" t="str">
        <x:f t="shared" si="8"/>
        <x:v>SD 1.1 x5NU(E) </x:v>
      </x:c>
      <x:c r="E81" s="20" t="s">
        <x:v>50</x:v>
      </x:c>
      <x:c r="F81" s="18">
        <x:v>60622</x:v>
      </x:c>
      <x:c r="G81" s="18">
        <x:v>51073</x:v>
      </x:c>
      <x:c r="H81" s="21">
        <x:v>0.36736111111111114</x:v>
      </x:c>
      <x:c r="I81" s="20">
        <x:v>6</x:v>
      </x:c>
      <x:c r="J81" s="20">
        <x:v>12</x:v>
      </x:c>
      <x:c r="K81" s="10">
        <x:v>0</x:v>
      </x:c>
      <x:c r="L81" s="10">
        <x:v>0</x:v>
      </x:c>
      <x:c r="M81" s="10">
        <x:v>0</x:v>
      </x:c>
      <x:c r="N81" s="10">
        <x:v>0</x:v>
      </x:c>
      <x:c r="O81" s="10">
        <x:v>0</x:v>
      </x:c>
      <x:c r="P81" s="10">
        <x:v>0</x:v>
      </x:c>
      <x:c r="Q81" s="20" t="s">
        <x:v>45</x:v>
      </x:c>
      <x:c r="R81"/>
    </x:row>
    <x:row r="82" s="16" customFormat="1">
      <x:c r="A82"/>
      <x:c r="B82" s="20"/>
      <x:c r="C82" s="18" t="s">
        <x:v>47</x:v>
      </x:c>
      <x:c r="D82" s="19" t="str">
        <x:f t="shared" si="8"/>
        <x:v>SD 1.1 x5NU(E) </x:v>
      </x:c>
      <x:c r="E82" s="20" t="s">
        <x:v>50</x:v>
      </x:c>
      <x:c r="F82" s="18">
        <x:v>60622</x:v>
      </x:c>
      <x:c r="G82" s="18">
        <x:v>51073</x:v>
      </x:c>
      <x:c r="H82" s="21">
        <x:v>0.36736111111111114</x:v>
      </x:c>
      <x:c r="I82" s="20">
        <x:v>3</x:v>
      </x:c>
      <x:c r="J82" s="20">
        <x:v>13</x:v>
      </x:c>
      <x:c r="K82" s="10">
        <x:v>0</x:v>
      </x:c>
      <x:c r="L82" s="10">
        <x:v>0</x:v>
      </x:c>
      <x:c r="M82" s="10">
        <x:v>0</x:v>
      </x:c>
      <x:c r="N82" s="10">
        <x:v>0</x:v>
      </x:c>
      <x:c r="O82" s="10">
        <x:v>0</x:v>
      </x:c>
      <x:c r="P82" s="10">
        <x:v>0</x:v>
      </x:c>
      <x:c r="Q82" s="20" t="s">
        <x:v>45</x:v>
      </x:c>
      <x:c r="R82"/>
    </x:row>
    <x:row r="83" s="16" customFormat="1">
      <x:c r="A83"/>
      <x:c r="B83" s="20"/>
      <x:c r="C83" s="18" t="s">
        <x:v>47</x:v>
      </x:c>
      <x:c r="D83" s="19" t="str">
        <x:f t="shared" si="8"/>
        <x:v>SD 1.1 x5NU(E) </x:v>
      </x:c>
      <x:c r="E83" s="20" t="s">
        <x:v>50</x:v>
      </x:c>
      <x:c r="F83" s="18">
        <x:v>60622</x:v>
      </x:c>
      <x:c r="G83" s="18">
        <x:v>51073</x:v>
      </x:c>
      <x:c r="H83" s="21">
        <x:v>0.36736111111111114</x:v>
      </x:c>
      <x:c r="I83" s="20">
        <x:v>6</x:v>
      </x:c>
      <x:c r="J83" s="20">
        <x:v>14</x:v>
      </x:c>
      <x:c r="K83" s="10">
        <x:v>0</x:v>
      </x:c>
      <x:c r="L83" s="10">
        <x:v>0</x:v>
      </x:c>
      <x:c r="M83" s="10">
        <x:v>0</x:v>
      </x:c>
      <x:c r="N83" s="10">
        <x:v>0</x:v>
      </x:c>
      <x:c r="O83" s="10">
        <x:v>0</x:v>
      </x:c>
      <x:c r="P83" s="10">
        <x:v>0</x:v>
      </x:c>
      <x:c r="Q83" s="20" t="s">
        <x:v>45</x:v>
      </x:c>
      <x:c r="R83"/>
    </x:row>
    <x:row r="84" s="16" customFormat="1">
      <x:c r="A84"/>
      <x:c r="B84" s="27"/>
      <x:c r="C84" s="25" t="s">
        <x:v>47</x:v>
      </x:c>
      <x:c r="D84" s="26" t="str">
        <x:f t="shared" si="8"/>
        <x:v>SD 1.1 x5NU(E) </x:v>
      </x:c>
      <x:c r="E84" s="27" t="s">
        <x:v>50</x:v>
      </x:c>
      <x:c r="F84" s="25">
        <x:v>60622</x:v>
      </x:c>
      <x:c r="G84" s="18">
        <x:v>51073</x:v>
      </x:c>
      <x:c r="H84" s="21">
        <x:v>0.36736111111111114</x:v>
      </x:c>
      <x:c r="I84" s="20">
        <x:v>3</x:v>
      </x:c>
      <x:c r="J84" s="20">
        <x:v>15</x:v>
      </x:c>
      <x:c r="K84" s="10">
        <x:v>0</x:v>
      </x:c>
      <x:c r="L84" s="10">
        <x:v>0</x:v>
      </x:c>
      <x:c r="M84" s="10">
        <x:v>0</x:v>
      </x:c>
      <x:c r="N84" s="10">
        <x:v>0</x:v>
      </x:c>
      <x:c r="O84" s="10">
        <x:v>0</x:v>
      </x:c>
      <x:c r="P84" s="10">
        <x:v>0</x:v>
      </x:c>
      <x:c r="Q84" s="20" t="s">
        <x:v>45</x:v>
      </x:c>
      <x:c r="R84"/>
    </x:row>
    <x:row r="85" s="16" customFormat="1">
      <x:c r="A85"/>
      <x:c r="F85" s="22"/>
      <x:c r="H85" s="23"/>
      <x:c r="I85" s="23"/>
      <x:c r="J85" s="23"/>
      <x:c r="K85" s="24"/>
      <x:c r="L85" s="24"/>
      <x:c r="M85" s="24"/>
      <x:c r="N85" s="24"/>
      <x:c r="O85" s="24"/>
      <x:c r="P85" s="24"/>
      <x:c r="R85"/>
    </x:row>
    <x:row r="86" s="16" customFormat="1">
      <x:c r="A86"/>
      <x:c r="F86" s="22"/>
      <x:c r="H86" s="23"/>
      <x:c r="I86" s="23"/>
      <x:c r="J86" s="23"/>
      <x:c r="K86" s="24"/>
      <x:c r="L86" s="24"/>
      <x:c r="M86" s="24"/>
      <x:c r="N86" s="24"/>
      <x:c r="O86" s="24"/>
      <x:c r="P86" s="24"/>
      <x:c r="R86"/>
    </x:row>
    <x:row r="87" s="16" customFormat="1">
      <x:c r="A87"/>
      <x:c r="F87" s="22"/>
      <x:c r="H87" s="23"/>
      <x:c r="I87" s="23"/>
      <x:c r="J87" s="23"/>
      <x:c r="K87" s="24"/>
      <x:c r="L87" s="24"/>
      <x:c r="M87" s="24"/>
      <x:c r="N87" s="24"/>
      <x:c r="O87" s="24"/>
      <x:c r="P87" s="24"/>
      <x:c r="R87"/>
    </x:row>
    <x:row r="88" s="16" customFormat="1">
      <x:c r="A88"/>
      <x:c r="F88" s="22"/>
      <x:c r="H88" s="23"/>
      <x:c r="I88" s="23"/>
      <x:c r="J88" s="23"/>
      <x:c r="K88" s="24"/>
      <x:c r="L88" s="24"/>
      <x:c r="M88" s="24"/>
      <x:c r="N88" s="24"/>
      <x:c r="O88" s="24"/>
      <x:c r="P88" s="24"/>
      <x:c r="R88"/>
    </x:row>
    <x:row r="89" s="16" customFormat="1">
      <x:c r="A89"/>
      <x:c r="F89" s="22"/>
      <x:c r="H89" s="23"/>
      <x:c r="I89" s="23"/>
      <x:c r="J89" s="23"/>
      <x:c r="K89" s="24"/>
      <x:c r="L89" s="24"/>
      <x:c r="M89" s="24"/>
      <x:c r="N89" s="24"/>
      <x:c r="O89" s="24"/>
      <x:c r="P89" s="24"/>
      <x:c r="R89"/>
    </x:row>
    <x:row r="90" s="16" customFormat="1">
      <x:c r="A90"/>
      <x:c r="F90" s="22"/>
      <x:c r="H90" s="23"/>
      <x:c r="I90" s="23"/>
      <x:c r="J90" s="23"/>
      <x:c r="K90" s="24"/>
      <x:c r="L90" s="24"/>
      <x:c r="M90" s="24"/>
      <x:c r="N90" s="24"/>
      <x:c r="O90" s="24"/>
      <x:c r="P90" s="24"/>
      <x:c r="R90"/>
    </x:row>
    <x:row r="91" s="16" customFormat="1">
      <x:c r="A91"/>
      <x:c r="F91" s="22"/>
      <x:c r="H91" s="23"/>
      <x:c r="I91" s="23"/>
      <x:c r="J91" s="23"/>
      <x:c r="K91" s="24"/>
      <x:c r="L91" s="24"/>
      <x:c r="M91" s="24"/>
      <x:c r="N91" s="24"/>
      <x:c r="O91" s="24"/>
      <x:c r="P91" s="24"/>
      <x:c r="R91"/>
    </x:row>
    <x:row r="92" s="16" customFormat="1">
      <x:c r="A92"/>
      <x:c r="F92" s="22"/>
      <x:c r="H92" s="23"/>
      <x:c r="I92" s="23"/>
      <x:c r="J92" s="23"/>
      <x:c r="K92" s="24"/>
      <x:c r="L92" s="24"/>
      <x:c r="M92" s="24"/>
      <x:c r="N92" s="24"/>
      <x:c r="O92" s="24"/>
      <x:c r="P92" s="24"/>
      <x:c r="R92"/>
    </x:row>
    <x:row r="93" s="16" customFormat="1">
      <x:c r="A93"/>
      <x:c r="F93" s="22"/>
      <x:c r="H93" s="23"/>
      <x:c r="I93" s="23"/>
      <x:c r="J93" s="23"/>
      <x:c r="K93" s="24"/>
      <x:c r="L93" s="24"/>
      <x:c r="M93" s="24"/>
      <x:c r="N93" s="24"/>
      <x:c r="O93" s="24"/>
      <x:c r="P93" s="24"/>
      <x:c r="R93"/>
    </x:row>
    <x:row r="94" s="16" customFormat="1">
      <x:c r="A94"/>
      <x:c r="F94" s="22"/>
      <x:c r="H94" s="23"/>
      <x:c r="I94" s="23"/>
      <x:c r="J94" s="23"/>
      <x:c r="K94" s="24"/>
      <x:c r="L94" s="24"/>
      <x:c r="M94" s="24"/>
      <x:c r="N94" s="24"/>
      <x:c r="O94" s="24"/>
      <x:c r="P94" s="24"/>
      <x:c r="R94"/>
    </x:row>
    <x:row r="95" s="16" customFormat="1">
      <x:c r="A95"/>
      <x:c r="F95" s="22"/>
      <x:c r="H95" s="23"/>
      <x:c r="I95" s="23"/>
      <x:c r="J95" s="23"/>
      <x:c r="K95" s="24"/>
      <x:c r="L95" s="24"/>
      <x:c r="M95" s="24"/>
      <x:c r="N95" s="24"/>
      <x:c r="O95" s="24"/>
      <x:c r="P95" s="24"/>
      <x:c r="R95"/>
    </x:row>
    <x:row r="96" s="16" customFormat="1">
      <x:c r="A96"/>
      <x:c r="F96" s="22"/>
      <x:c r="H96" s="23"/>
      <x:c r="I96" s="23"/>
      <x:c r="J96" s="23"/>
      <x:c r="K96" s="24"/>
      <x:c r="L96" s="24"/>
      <x:c r="M96" s="24"/>
      <x:c r="N96" s="24"/>
      <x:c r="O96" s="24"/>
      <x:c r="P96" s="24"/>
      <x:c r="R96"/>
    </x:row>
    <x:row r="97" s="16" customFormat="1">
      <x:c r="A97"/>
      <x:c r="F97" s="22"/>
      <x:c r="H97" s="23"/>
      <x:c r="I97" s="23"/>
      <x:c r="J97" s="23"/>
      <x:c r="K97" s="24"/>
      <x:c r="L97" s="24"/>
      <x:c r="M97" s="24"/>
      <x:c r="N97" s="24"/>
      <x:c r="O97" s="24"/>
      <x:c r="P97" s="24"/>
      <x:c r="R97"/>
    </x:row>
    <x:row r="98" s="16" customFormat="1">
      <x:c r="A98"/>
      <x:c r="F98" s="22"/>
      <x:c r="H98" s="23"/>
      <x:c r="I98" s="23"/>
      <x:c r="J98" s="23"/>
      <x:c r="K98" s="24"/>
      <x:c r="L98" s="24"/>
      <x:c r="M98" s="24"/>
      <x:c r="N98" s="24"/>
      <x:c r="O98" s="24"/>
      <x:c r="P98" s="24"/>
      <x:c r="R98"/>
    </x:row>
    <x:row r="99" s="16" customFormat="1">
      <x:c r="A99"/>
      <x:c r="F99" s="22"/>
      <x:c r="H99" s="23"/>
      <x:c r="I99" s="23"/>
      <x:c r="J99" s="23"/>
      <x:c r="K99" s="24"/>
      <x:c r="L99" s="24"/>
      <x:c r="M99" s="24"/>
      <x:c r="N99" s="24"/>
      <x:c r="O99" s="24"/>
      <x:c r="P99" s="24"/>
      <x:c r="R99"/>
    </x:row>
    <x:row r="100" s="16" customFormat="1">
      <x:c r="A100"/>
      <x:c r="F100" s="22"/>
      <x:c r="H100" s="23"/>
      <x:c r="I100" s="23"/>
      <x:c r="J100" s="23"/>
      <x:c r="K100" s="24"/>
      <x:c r="L100" s="24"/>
      <x:c r="M100" s="24"/>
      <x:c r="N100" s="24"/>
      <x:c r="O100" s="24"/>
      <x:c r="P100" s="24"/>
      <x:c r="R100"/>
    </x:row>
    <x:row r="101" s="16" customFormat="1">
      <x:c r="A101"/>
      <x:c r="F101" s="22"/>
      <x:c r="H101" s="23"/>
      <x:c r="I101" s="23"/>
      <x:c r="J101" s="23"/>
      <x:c r="K101" s="24"/>
      <x:c r="L101" s="24"/>
      <x:c r="M101" s="24"/>
      <x:c r="N101" s="24"/>
      <x:c r="O101" s="24"/>
      <x:c r="P101" s="24"/>
      <x:c r="R101"/>
    </x:row>
    <x:row r="102" s="16" customFormat="1">
      <x:c r="A102"/>
      <x:c r="F102" s="22"/>
      <x:c r="H102" s="23"/>
      <x:c r="I102" s="23"/>
      <x:c r="J102" s="23"/>
      <x:c r="K102" s="24"/>
      <x:c r="L102" s="24"/>
      <x:c r="M102" s="24"/>
      <x:c r="N102" s="24"/>
      <x:c r="O102" s="24"/>
      <x:c r="P102" s="24"/>
      <x:c r="R102"/>
    </x:row>
    <x:row r="103" s="16" customFormat="1">
      <x:c r="A103"/>
      <x:c r="F103" s="22"/>
      <x:c r="H103" s="23"/>
      <x:c r="I103" s="23"/>
      <x:c r="J103" s="23"/>
      <x:c r="K103" s="24"/>
      <x:c r="L103" s="24"/>
      <x:c r="M103" s="24"/>
      <x:c r="N103" s="24"/>
      <x:c r="O103" s="24"/>
      <x:c r="P103" s="24"/>
      <x:c r="R103"/>
    </x:row>
    <x:row r="104" s="16" customFormat="1">
      <x:c r="A104"/>
      <x:c r="F104" s="22"/>
      <x:c r="H104" s="23"/>
      <x:c r="I104" s="23"/>
      <x:c r="J104" s="23"/>
      <x:c r="K104" s="24"/>
      <x:c r="L104" s="24"/>
      <x:c r="M104" s="24"/>
      <x:c r="N104" s="24"/>
      <x:c r="O104" s="24"/>
      <x:c r="P104" s="24"/>
      <x:c r="R104"/>
    </x:row>
    <x:row r="105" s="16" customFormat="1">
      <x:c r="A105"/>
      <x:c r="F105" s="22"/>
      <x:c r="H105" s="23"/>
      <x:c r="I105" s="23"/>
      <x:c r="J105" s="23"/>
      <x:c r="K105" s="24"/>
      <x:c r="L105" s="24"/>
      <x:c r="M105" s="24"/>
      <x:c r="N105" s="24"/>
      <x:c r="O105" s="24"/>
      <x:c r="P105" s="24"/>
      <x:c r="R105"/>
    </x:row>
    <x:row r="106" s="16" customFormat="1">
      <x:c r="A106"/>
      <x:c r="F106" s="22"/>
      <x:c r="H106" s="23"/>
      <x:c r="I106" s="23"/>
      <x:c r="J106" s="23"/>
      <x:c r="K106" s="24"/>
      <x:c r="L106" s="24"/>
      <x:c r="M106" s="24"/>
      <x:c r="N106" s="24"/>
      <x:c r="O106" s="24"/>
      <x:c r="P106" s="24"/>
      <x:c r="R106"/>
    </x:row>
    <x:row r="107" s="16" customFormat="1">
      <x:c r="A107"/>
      <x:c r="F107" s="22"/>
      <x:c r="H107" s="23"/>
      <x:c r="I107" s="23"/>
      <x:c r="J107" s="23"/>
      <x:c r="K107" s="24"/>
      <x:c r="L107" s="24"/>
      <x:c r="M107" s="24"/>
      <x:c r="N107" s="24"/>
      <x:c r="O107" s="24"/>
      <x:c r="P107" s="24"/>
      <x:c r="R107"/>
    </x:row>
    <x:row r="108" s="16" customFormat="1">
      <x:c r="A108"/>
      <x:c r="F108" s="22"/>
      <x:c r="H108" s="23"/>
      <x:c r="I108" s="23"/>
      <x:c r="J108" s="23"/>
      <x:c r="K108" s="24"/>
      <x:c r="L108" s="24"/>
      <x:c r="M108" s="24"/>
      <x:c r="N108" s="24"/>
      <x:c r="O108" s="24"/>
      <x:c r="P108" s="24"/>
      <x:c r="R108"/>
    </x:row>
    <x:row r="109" s="16" customFormat="1">
      <x:c r="A109"/>
      <x:c r="F109" s="22"/>
      <x:c r="H109" s="23"/>
      <x:c r="I109" s="23"/>
      <x:c r="J109" s="23"/>
      <x:c r="K109" s="24"/>
      <x:c r="L109" s="24"/>
      <x:c r="M109" s="24"/>
      <x:c r="N109" s="24"/>
      <x:c r="O109" s="24"/>
      <x:c r="P109" s="24"/>
      <x:c r="R109"/>
    </x:row>
    <x:row r="110" s="16" customFormat="1">
      <x:c r="A110"/>
      <x:c r="F110" s="22"/>
      <x:c r="H110" s="23"/>
      <x:c r="I110" s="23"/>
      <x:c r="J110" s="23"/>
      <x:c r="K110" s="24"/>
      <x:c r="L110" s="24"/>
      <x:c r="M110" s="24"/>
      <x:c r="N110" s="24"/>
      <x:c r="O110" s="24"/>
      <x:c r="P110" s="24"/>
      <x:c r="R110"/>
    </x:row>
    <x:row r="111" s="16" customFormat="1">
      <x:c r="A111"/>
      <x:c r="F111" s="22"/>
      <x:c r="H111" s="23"/>
      <x:c r="I111" s="23"/>
      <x:c r="J111" s="23"/>
      <x:c r="K111" s="24"/>
      <x:c r="L111" s="24"/>
      <x:c r="M111" s="24"/>
      <x:c r="N111" s="24"/>
      <x:c r="O111" s="24"/>
      <x:c r="P111" s="24"/>
      <x:c r="R111"/>
    </x:row>
    <x:row r="112" s="16" customFormat="1">
      <x:c r="A112"/>
      <x:c r="F112" s="22"/>
      <x:c r="H112" s="23"/>
      <x:c r="I112" s="23"/>
      <x:c r="J112" s="23"/>
      <x:c r="K112" s="24"/>
      <x:c r="L112" s="24"/>
      <x:c r="M112" s="24"/>
      <x:c r="N112" s="24"/>
      <x:c r="O112" s="24"/>
      <x:c r="P112" s="24"/>
      <x:c r="R112"/>
    </x:row>
    <x:row r="113" s="16" customFormat="1">
      <x:c r="A113"/>
      <x:c r="F113" s="22"/>
      <x:c r="H113" s="23"/>
      <x:c r="I113" s="23"/>
      <x:c r="J113" s="23"/>
      <x:c r="K113" s="24"/>
      <x:c r="L113" s="24"/>
      <x:c r="M113" s="24"/>
      <x:c r="N113" s="24"/>
      <x:c r="O113" s="24"/>
      <x:c r="P113" s="24"/>
      <x:c r="R113"/>
    </x:row>
    <x:row r="114" s="16" customFormat="1">
      <x:c r="A114"/>
      <x:c r="F114" s="22"/>
      <x:c r="H114" s="23"/>
      <x:c r="I114" s="23"/>
      <x:c r="J114" s="23"/>
      <x:c r="K114" s="24"/>
      <x:c r="L114" s="24"/>
      <x:c r="M114" s="24"/>
      <x:c r="N114" s="24"/>
      <x:c r="O114" s="24"/>
      <x:c r="P114" s="24"/>
      <x:c r="R114"/>
    </x:row>
    <x:row r="115" s="16" customFormat="1">
      <x:c r="A115"/>
      <x:c r="F115" s="22"/>
      <x:c r="H115" s="23"/>
      <x:c r="I115" s="23"/>
      <x:c r="J115" s="23"/>
      <x:c r="K115" s="24"/>
      <x:c r="L115" s="24"/>
      <x:c r="M115" s="24"/>
      <x:c r="N115" s="24"/>
      <x:c r="O115" s="24"/>
      <x:c r="P115" s="24"/>
      <x:c r="R115"/>
    </x:row>
    <x:row r="116" s="16" customFormat="1">
      <x:c r="A116"/>
      <x:c r="F116" s="22"/>
      <x:c r="H116" s="23"/>
      <x:c r="I116" s="23"/>
      <x:c r="J116" s="23"/>
      <x:c r="K116" s="24"/>
      <x:c r="L116" s="24"/>
      <x:c r="M116" s="24"/>
      <x:c r="N116" s="24"/>
      <x:c r="O116" s="24"/>
      <x:c r="P116" s="24"/>
      <x:c r="R116"/>
    </x:row>
    <x:row r="117" s="16" customFormat="1">
      <x:c r="A117"/>
      <x:c r="F117" s="22"/>
      <x:c r="H117" s="23"/>
      <x:c r="I117" s="23"/>
      <x:c r="J117" s="23"/>
      <x:c r="K117" s="24"/>
      <x:c r="L117" s="24"/>
      <x:c r="M117" s="24"/>
      <x:c r="N117" s="24"/>
      <x:c r="O117" s="24"/>
      <x:c r="P117" s="24"/>
      <x:c r="R117"/>
    </x:row>
  </x:sheetData>
  <x:mergeCells>
    <x:mergeCell ref="Q68:Q69"/>
    <x:mergeCell ref="B68:B69"/>
    <x:mergeCell ref="C68:C69"/>
    <x:mergeCell ref="D68:D69"/>
    <x:mergeCell ref="H68:H69"/>
    <x:mergeCell ref="K68:P68"/>
    <x:mergeCell ref="F2:F3"/>
    <x:mergeCell ref="B1:D1"/>
    <x:mergeCell ref="B2:B3"/>
    <x:mergeCell ref="C2:C3"/>
    <x:mergeCell ref="D2:D3"/>
    <x:mergeCell ref="E2:E3"/>
    <x:mergeCell ref="G2:G3"/>
    <x:mergeCell ref="H2:H3"/>
    <x:mergeCell ref="K2:K3"/>
    <x:mergeCell ref="H49:H50"/>
    <x:mergeCell ref="K49:P49"/>
    <x:mergeCell ref="L2:L3"/>
    <x:mergeCell ref="M2:M3"/>
    <x:mergeCell ref="Q49:Q50"/>
    <x:mergeCell ref="Q9:Q10"/>
    <x:mergeCell ref="B29:B30"/>
    <x:mergeCell ref="C29:C30"/>
    <x:mergeCell ref="D29:D30"/>
    <x:mergeCell ref="H29:H30"/>
    <x:mergeCell ref="K29:P29"/>
    <x:mergeCell ref="Q29:Q30"/>
    <x:mergeCell ref="B9:B10"/>
    <x:mergeCell ref="C9:C10"/>
    <x:mergeCell ref="D9:D10"/>
    <x:mergeCell ref="H9:H10"/>
    <x:mergeCell ref="K9:P9"/>
    <x:mergeCell ref="B49:B50"/>
    <x:mergeCell ref="C49:C50"/>
    <x:mergeCell ref="D49:D50"/>
  </x:mergeCells>
  <x:conditionalFormatting sqref="K11:K28 K31:K48 K51:K67 K70:K49999">
    <x:cfRule type="cellIs" dxfId="34" priority="6" operator="greaterThan">
      <x:formula>$C$6</x:formula>
    </x:cfRule>
    <x:cfRule type="cellIs" dxfId="33" priority="7" operator="greaterThan">
      <x:formula>$C$5</x:formula>
    </x:cfRule>
  </x:conditionalFormatting>
  <x:conditionalFormatting sqref="K11:P28 K31:P48 K51:P67 K70:P49999">
    <x:cfRule type="cellIs" dxfId="32" priority="5" operator="greaterThan">
      <x:formula>0</x:formula>
    </x:cfRule>
  </x:conditionalFormatting>
  <x:conditionalFormatting sqref="N11:N28 N31:N48 N51:N67 N70:N49999">
    <x:cfRule type="cellIs" dxfId="31" priority="3" operator="greaterThan">
      <x:formula>$E$6</x:formula>
    </x:cfRule>
    <x:cfRule type="cellIs" dxfId="30" priority="4" operator="greaterThan">
      <x:formula>$E$5</x:formula>
    </x:cfRule>
  </x:conditionalFormatting>
  <x:conditionalFormatting sqref="O11:O28 O31:O48 O51:O67 O70:O49999">
    <x:cfRule type="cellIs" dxfId="29" priority="1" operator="greaterThan">
      <x:formula>$K$6</x:formula>
    </x:cfRule>
    <x:cfRule type="cellIs" dxfId="28" priority="2" operator="greaterThan">
      <x:formula>$K$5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.109375" defaultRowHeight="14.399999618530273"/>
  <x:cols>
    <x:col min="1" max="1" width="5.109375" customWidth="1"/>
    <x:col min="2" max="7" width="12.6640625" style="16" customWidth="1"/>
    <x:col min="8" max="10" width="12.6640625" style="23" customWidth="1"/>
    <x:col min="11" max="16" width="12.6640625" style="24" customWidth="1"/>
    <x:col min="17" max="17" width="12.6640625" style="16" customWidth="1"/>
  </x:cols>
  <x:sheetData>
    <x:row r="1" s="6" customFormat="1" ht="23.399999618530273">
      <x:c r="A1" s="1" t="s">
        <x:v>0</x:v>
      </x:c>
      <x:c r="B1" s="60" t="s">
        <x:v>51</x:v>
      </x:c>
      <x:c r="C1" s="60"/>
      <x:c r="D1" s="60"/>
      <x:c r="E1" s="2" t="s">
        <x:v>2</x:v>
      </x:c>
      <x:c r="F1" s="3"/>
      <x:c r="G1" s="3"/>
      <x:c r="H1" s="4"/>
      <x:c r="I1" s="4"/>
      <x:c r="J1" s="4"/>
      <x:c r="K1" s="5"/>
      <x:c r="L1" s="5"/>
      <x:c r="M1" s="5"/>
      <x:c r="N1" s="5"/>
      <x:c r="O1" s="5"/>
      <x:c r="P1" s="5"/>
      <x:c r="Q1" s="3"/>
    </x:row>
    <x:row r="2" s="6" customFormat="1" ht="15" customHeight="1">
      <x:c r="A2" s="1"/>
      <x:c r="B2" s="56" t="s">
        <x:v>3</x:v>
      </x:c>
      <x:c r="C2" s="57" t="s">
        <x:v>4</x:v>
      </x:c>
      <x:c r="D2" s="57" t="s">
        <x:v>5</x:v>
      </x:c>
      <x:c r="E2" s="57" t="s">
        <x:v>6</x:v>
      </x:c>
      <x:c r="F2" s="57" t="s">
        <x:v>7</x:v>
      </x:c>
      <x:c r="G2" s="57" t="s">
        <x:v>8</x:v>
      </x:c>
      <x:c r="H2" s="57" t="s">
        <x:v>9</x:v>
      </x:c>
      <x:c r="I2" s="8"/>
      <x:c r="J2" s="8"/>
      <x:c r="K2" s="57" t="s">
        <x:v>10</x:v>
      </x:c>
      <x:c r="L2" s="57" t="s">
        <x:v>11</x:v>
      </x:c>
      <x:c r="M2" s="57" t="s">
        <x:v>12</x:v>
      </x:c>
    </x:row>
    <x:row r="3" s="6" customFormat="1" ht="15" customHeight="1">
      <x:c r="A3" s="1"/>
      <x:c r="B3" s="56"/>
      <x:c r="C3" s="57"/>
      <x:c r="D3" s="57"/>
      <x:c r="E3" s="57"/>
      <x:c r="F3" s="57"/>
      <x:c r="G3" s="57"/>
      <x:c r="H3" s="57"/>
      <x:c r="I3" s="8"/>
      <x:c r="J3" s="8"/>
      <x:c r="K3" s="57"/>
      <x:c r="L3" s="57"/>
      <x:c r="M3" s="57"/>
    </x:row>
    <x:row r="4" s="6" customFormat="1" ht="15" customHeight="1">
      <x:c r="A4" s="1"/>
      <x:c r="B4" s="9" t="s">
        <x:v>13</x:v>
      </x:c>
      <x:c r="C4" s="10" t="e">
        <x:f>'[1]Raw data S-Side'!C4</x:f>
        <x:v>#REF!</x:v>
      </x:c>
      <x:c r="D4" s="11" t="e">
        <x:f>'[1]Raw data S-Side'!D4</x:f>
        <x:v>#REF!</x:v>
      </x:c>
      <x:c r="E4" s="10" t="e">
        <x:f>'[1]Raw data S-Side'!E4</x:f>
        <x:v>#REF!</x:v>
      </x:c>
      <x:c r="F4" s="11" t="e">
        <x:f>'[1]Raw data S-Side'!F4</x:f>
        <x:v>#REF!</x:v>
      </x:c>
      <x:c r="G4" s="10" t="e">
        <x:f>'[1]Raw data S-Side'!G4</x:f>
        <x:v>#REF!</x:v>
      </x:c>
      <x:c r="H4" s="10" t="e">
        <x:f>'[1]Raw data S-Side'!H4</x:f>
        <x:v>#REF!</x:v>
      </x:c>
      <x:c r="I4" s="10" t="e">
        <x:f>'[1]Raw data S-Side'!I4</x:f>
        <x:v>#REF!</x:v>
      </x:c>
      <x:c r="J4" s="11"/>
      <x:c r="K4" s="11" t="e">
        <x:f>VLOOKUP(A1,[2]Std!1:1048576,21,FALSE)</x:f>
        <x:v>#NAME?</x:v>
      </x:c>
      <x:c r="L4" s="10" t="s">
        <x:v>14</x:v>
      </x:c>
      <x:c r="M4" s="12" t="s">
        <x:v>14</x:v>
      </x:c>
    </x:row>
    <x:row r="5" s="6" customFormat="1" ht="15" customHeight="1">
      <x:c r="A5" s="1"/>
      <x:c r="B5" s="9" t="s">
        <x:v>15</x:v>
      </x:c>
      <x:c r="C5" s="10" t="e">
        <x:f>'[1]Raw data S-Side'!C5</x:f>
        <x:v>#REF!</x:v>
      </x:c>
      <x:c r="D5" s="11" t="e">
        <x:f>'[1]Raw data S-Side'!D5</x:f>
        <x:v>#REF!</x:v>
      </x:c>
      <x:c r="E5" s="10" t="e">
        <x:f>'[1]Raw data S-Side'!E5</x:f>
        <x:v>#REF!</x:v>
      </x:c>
      <x:c r="F5" s="11" t="e">
        <x:f>'[1]Raw data S-Side'!F5</x:f>
        <x:v>#REF!</x:v>
      </x:c>
      <x:c r="G5" s="10" t="e">
        <x:f>'[1]Raw data S-Side'!G5</x:f>
        <x:v>#REF!</x:v>
      </x:c>
      <x:c r="H5" s="10" t="e">
        <x:f>'[1]Raw data S-Side'!H5</x:f>
        <x:v>#REF!</x:v>
      </x:c>
      <x:c r="I5" s="10" t="s">
        <x:v>14</x:v>
      </x:c>
      <x:c r="J5" s="11"/>
      <x:c r="K5" s="10">
        <x:v>2</x:v>
      </x:c>
      <x:c r="L5" s="10">
        <x:v>0</x:v>
      </x:c>
      <x:c r="M5" s="12">
        <x:v>3.8</x:v>
      </x:c>
    </x:row>
    <x:row r="6" s="6" customFormat="1" ht="15" customHeight="1">
      <x:c r="A6" s="1"/>
      <x:c r="B6" s="9" t="s">
        <x:v>16</x:v>
      </x:c>
      <x:c r="C6" s="10" t="e">
        <x:f>'[1]Raw data S-Side'!C6</x:f>
        <x:v>#REF!</x:v>
      </x:c>
      <x:c r="D6" s="11" t="e">
        <x:f>'[1]Raw data S-Side'!D6</x:f>
        <x:v>#REF!</x:v>
      </x:c>
      <x:c r="E6" s="10" t="e">
        <x:f>'[1]Raw data S-Side'!E6</x:f>
        <x:v>#REF!</x:v>
      </x:c>
      <x:c r="F6" s="11" t="e">
        <x:f>'[1]Raw data S-Side'!F6</x:f>
        <x:v>#REF!</x:v>
      </x:c>
      <x:c r="G6" s="10" t="e">
        <x:f>'[1]Raw data S-Side'!G6</x:f>
        <x:v>#REF!</x:v>
      </x:c>
      <x:c r="H6" s="10" t="e">
        <x:f>'[1]Raw data S-Side'!H6</x:f>
        <x:v>#REF!</x:v>
      </x:c>
      <x:c r="I6" s="10" t="s">
        <x:v>14</x:v>
      </x:c>
      <x:c r="J6" s="11"/>
      <x:c r="K6" s="10">
        <x:v>4</x:v>
      </x:c>
      <x:c r="L6" s="10">
        <x:v>1</x:v>
      </x:c>
      <x:c r="M6" s="12">
        <x:v>3.5</x:v>
      </x:c>
    </x:row>
    <x:row r="7" s="6" customFormat="1" ht="15" customHeight="1">
      <x:c r="A7" s="1"/>
      <x:c r="B7" t="s">
        <x:v>17</x:v>
      </x:c>
      <x:c r="D7" s="3"/>
      <x:c r="E7" s="3"/>
      <x:c r="F7" s="3"/>
      <x:c r="G7" s="3"/>
      <x:c r="H7" s="4"/>
      <x:c r="I7" s="4"/>
      <x:c r="J7" s="4"/>
      <x:c r="K7" s="5"/>
      <x:c r="L7" s="5"/>
      <x:c r="M7" s="5"/>
      <x:c r="N7" s="5"/>
      <x:c r="O7" s="5"/>
      <x:c r="P7" s="5"/>
      <x:c r="Q7" s="3"/>
    </x:row>
    <x:row r="8" s="6" customFormat="1" ht="15" customHeight="1">
      <x:c r="A8" s="1"/>
      <x:c r="B8" t="s">
        <x:v>18</x:v>
      </x:c>
      <x:c r="C8" s="13"/>
      <x:c r="D8" s="3"/>
      <x:c r="E8" s="3"/>
      <x:c r="F8" s="3"/>
      <x:c r="G8" s="3"/>
      <x:c r="L8" t="s">
        <x:v>19</x:v>
      </x:c>
      <x:c r="N8" s="5"/>
      <x:c r="O8" s="5"/>
      <x:c r="P8" s="5"/>
      <x:c r="Q8" s="3"/>
    </x:row>
    <x:row r="9" ht="15" customHeight="1">
      <x:c r="B9" s="57" t="s">
        <x:v>20</x:v>
      </x:c>
      <x:c r="C9" s="57" t="s">
        <x:v>21</x:v>
      </x:c>
      <x:c r="D9" s="56" t="s">
        <x:v>22</x:v>
      </x:c>
      <x:c r="E9" s="9" t="s">
        <x:v>23</x:v>
      </x:c>
      <x:c r="F9" s="14" t="s">
        <x:v>24</x:v>
      </x:c>
      <x:c r="G9" s="9" t="s">
        <x:v>24</x:v>
      </x:c>
      <x:c r="H9" s="58" t="s">
        <x:v>25</x:v>
      </x:c>
      <x:c r="I9" s="15"/>
      <x:c r="J9" s="15"/>
      <x:c r="K9" s="59" t="s">
        <x:v>26</x:v>
      </x:c>
      <x:c r="L9" s="59"/>
      <x:c r="M9" s="59"/>
      <x:c r="N9" s="59"/>
      <x:c r="O9" s="59"/>
      <x:c r="P9" s="59"/>
      <x:c r="Q9" s="56" t="s">
        <x:v>27</x:v>
      </x:c>
      <x:c r="R9" s="16"/>
    </x:row>
    <x:row r="10" ht="28.799999237060547">
      <x:c r="B10" s="56"/>
      <x:c r="C10" s="56"/>
      <x:c r="D10" s="56"/>
      <x:c r="E10" s="7" t="s">
        <x:v>28</x:v>
      </x:c>
      <x:c r="F10" s="8" t="s">
        <x:v>29</x:v>
      </x:c>
      <x:c r="G10" s="8" t="s">
        <x:v>30</x:v>
      </x:c>
      <x:c r="H10" s="58"/>
      <x:c r="I10" s="15" t="s">
        <x:v>31</x:v>
      </x:c>
      <x:c r="J10" s="15" t="s">
        <x:v>32</x:v>
      </x:c>
      <x:c r="K10" s="17" t="s">
        <x:v>33</x:v>
      </x:c>
      <x:c r="L10" s="17" t="s">
        <x:v>34</x:v>
      </x:c>
      <x:c r="M10" s="17" t="s">
        <x:v>35</x:v>
      </x:c>
      <x:c r="N10" s="17" t="s">
        <x:v>36</x:v>
      </x:c>
      <x:c r="O10" s="17" t="s">
        <x:v>10</x:v>
      </x:c>
      <x:c r="P10" s="17" t="s">
        <x:v>37</x:v>
      </x:c>
      <x:c r="Q10" s="56"/>
      <x:c r="R10" s="16"/>
    </x:row>
    <x:row r="11">
      <x:c r="B11" s="18" t="s">
        <x:v>38</x:v>
      </x:c>
      <x:c r="C11" s="18" t="s">
        <x:v>39</x:v>
      </x:c>
      <x:c r="D11" s="19" t="str">
        <x:f>$B$1</x:f>
        <x:v>SD 1.1 x5NU(E)T</x:v>
      </x:c>
      <x:c r="E11" s="20" t="s">
        <x:v>50</x:v>
      </x:c>
      <x:c r="F11" s="18">
        <x:v>60625</x:v>
      </x:c>
      <x:c r="G11" s="18">
        <x:v>51081</x:v>
      </x:c>
      <x:c r="H11" s="21">
        <x:v>0.42222222222222222</x:v>
      </x:c>
      <x:c r="I11" s="20">
        <x:v>3</x:v>
      </x:c>
      <x:c r="J11" s="20">
        <x:v>1</x:v>
      </x:c>
      <x:c r="K11" s="10">
        <x:v>0</x:v>
      </x:c>
      <x:c r="L11" s="10">
        <x:v>0</x:v>
      </x:c>
      <x:c r="M11" s="10">
        <x:v>0</x:v>
      </x:c>
      <x:c r="N11" s="10" t="n">
        <x:f>L11+M11</x:f>
        <x:v>0</x:v>
      </x:c>
      <x:c r="O11" s="10">
        <x:v>0</x:v>
      </x:c>
      <x:c r="P11" s="10">
        <x:v>0</x:v>
      </x:c>
      <x:c r="Q11" s="20" t="s">
        <x:v>41</x:v>
      </x:c>
    </x:row>
    <x:row r="12" s="16" customFormat="1">
      <x:c r="A12"/>
      <x:c r="B12" s="18"/>
      <x:c r="C12" s="18" t="s">
        <x:v>39</x:v>
      </x:c>
      <x:c r="D12" s="19" t="str">
        <x:f t="shared" ref="D12:D25" si="0">$B$1</x:f>
        <x:v>SD 1.1 x5NU(E)T</x:v>
      </x:c>
      <x:c r="E12" s="20" t="s">
        <x:v>50</x:v>
      </x:c>
      <x:c r="F12" s="18">
        <x:v>60625</x:v>
      </x:c>
      <x:c r="G12" s="18">
        <x:v>51081</x:v>
      </x:c>
      <x:c r="H12" s="21">
        <x:v>0.42222222222222222</x:v>
      </x:c>
      <x:c r="I12" s="20">
        <x:v>6</x:v>
      </x:c>
      <x:c r="J12" s="20">
        <x:v>2</x:v>
      </x:c>
      <x:c r="K12" s="10">
        <x:v>0</x:v>
      </x:c>
      <x:c r="L12" s="10">
        <x:v>0</x:v>
      </x:c>
      <x:c r="M12" s="10">
        <x:v>1</x:v>
      </x:c>
      <x:c r="N12" s="10" t="n">
        <x:f>L12+M12</x:f>
        <x:v>1</x:v>
      </x:c>
      <x:c r="O12" s="10">
        <x:v>1</x:v>
      </x:c>
      <x:c r="P12" s="10">
        <x:v>0</x:v>
      </x:c>
      <x:c r="Q12" s="20" t="s">
        <x:v>42</x:v>
      </x:c>
      <x:c r="R12"/>
    </x:row>
    <x:row r="13" s="16" customFormat="1">
      <x:c r="A13"/>
      <x:c r="B13" s="18"/>
      <x:c r="C13" s="18" t="s">
        <x:v>39</x:v>
      </x:c>
      <x:c r="D13" s="19" t="str">
        <x:f t="shared" si="0"/>
        <x:v>SD 1.1 x5NU(E)T</x:v>
      </x:c>
      <x:c r="E13" s="20" t="s">
        <x:v>50</x:v>
      </x:c>
      <x:c r="F13" s="18">
        <x:v>60625</x:v>
      </x:c>
      <x:c r="G13" s="18">
        <x:v>51081</x:v>
      </x:c>
      <x:c r="H13" s="21">
        <x:v>0.42222222222222222</x:v>
      </x:c>
      <x:c r="I13" s="20">
        <x:v>3</x:v>
      </x:c>
      <x:c r="J13" s="20">
        <x:v>3</x:v>
      </x:c>
      <x:c r="K13" s="10">
        <x:v>0</x:v>
      </x:c>
      <x:c r="L13" s="10">
        <x:v>0</x:v>
      </x:c>
      <x:c r="M13" s="10">
        <x:v>0</x:v>
      </x:c>
      <x:c r="N13" s="10" t="n">
        <x:f t="shared" ref="N13:N25" si="1">L13+M13</x:f>
        <x:v>0</x:v>
      </x:c>
      <x:c r="O13" s="10">
        <x:v>0</x:v>
      </x:c>
      <x:c r="P13" s="10">
        <x:v>0</x:v>
      </x:c>
      <x:c r="Q13" s="20" t="s">
        <x:v>41</x:v>
      </x:c>
      <x:c r="R13"/>
    </x:row>
    <x:row r="14" s="16" customFormat="1">
      <x:c r="A14"/>
      <x:c r="B14" s="20"/>
      <x:c r="C14" s="18" t="s">
        <x:v>39</x:v>
      </x:c>
      <x:c r="D14" s="19" t="str">
        <x:f t="shared" si="0"/>
        <x:v>SD 1.1 x5NU(E)T</x:v>
      </x:c>
      <x:c r="E14" s="20" t="s">
        <x:v>50</x:v>
      </x:c>
      <x:c r="F14" s="18">
        <x:v>60625</x:v>
      </x:c>
      <x:c r="G14" s="18">
        <x:v>51081</x:v>
      </x:c>
      <x:c r="H14" s="21">
        <x:v>0.42222222222222222</x:v>
      </x:c>
      <x:c r="I14" s="20">
        <x:v>6</x:v>
      </x:c>
      <x:c r="J14" s="20">
        <x:v>4</x:v>
      </x:c>
      <x:c r="K14" s="10">
        <x:v>0</x:v>
      </x:c>
      <x:c r="L14" s="10">
        <x:v>0</x:v>
      </x:c>
      <x:c r="M14" s="10">
        <x:v>1</x:v>
      </x:c>
      <x:c r="N14" s="10">
        <x:f t="shared" si="1"/>
        <x:v>1</x:v>
      </x:c>
      <x:c r="O14" s="10">
        <x:v>0</x:v>
      </x:c>
      <x:c r="P14" s="10">
        <x:v>0</x:v>
      </x:c>
      <x:c r="Q14" s="20" t="s">
        <x:v>42</x:v>
      </x:c>
      <x:c r="R14"/>
    </x:row>
    <x:row r="15" s="16" customFormat="1">
      <x:c r="A15"/>
      <x:c r="B15" s="20"/>
      <x:c r="C15" s="18" t="s">
        <x:v>39</x:v>
      </x:c>
      <x:c r="D15" s="19" t="str">
        <x:f t="shared" si="0"/>
        <x:v>SD 1.1 x5NU(E)T</x:v>
      </x:c>
      <x:c r="E15" s="20" t="s">
        <x:v>50</x:v>
      </x:c>
      <x:c r="F15" s="18">
        <x:v>60625</x:v>
      </x:c>
      <x:c r="G15" s="18">
        <x:v>51081</x:v>
      </x:c>
      <x:c r="H15" s="21">
        <x:v>0.42222222222222222</x:v>
      </x:c>
      <x:c r="I15" s="20">
        <x:v>3</x:v>
      </x:c>
      <x:c r="J15" s="20">
        <x:v>5</x:v>
      </x:c>
      <x:c r="K15" s="10">
        <x:v>0</x:v>
      </x:c>
      <x:c r="L15" s="10">
        <x:v>0</x:v>
      </x:c>
      <x:c r="M15" s="10">
        <x:v>0</x:v>
      </x:c>
      <x:c r="N15" s="10">
        <x:f t="shared" si="1"/>
        <x:v>0</x:v>
      </x:c>
      <x:c r="O15" s="10">
        <x:v>0</x:v>
      </x:c>
      <x:c r="P15" s="10">
        <x:v>0</x:v>
      </x:c>
      <x:c r="Q15" s="20" t="s">
        <x:v>41</x:v>
      </x:c>
      <x:c r="R15"/>
    </x:row>
    <x:row r="16" s="16" customFormat="1">
      <x:c r="A16"/>
      <x:c r="B16" s="20"/>
      <x:c r="C16" s="18" t="s">
        <x:v>39</x:v>
      </x:c>
      <x:c r="D16" s="19" t="str">
        <x:f t="shared" si="0"/>
        <x:v>SD 1.1 x5NU(E)T</x:v>
      </x:c>
      <x:c r="E16" s="20" t="s">
        <x:v>50</x:v>
      </x:c>
      <x:c r="F16" s="18">
        <x:v>60625</x:v>
      </x:c>
      <x:c r="G16" s="18">
        <x:v>51081</x:v>
      </x:c>
      <x:c r="H16" s="21">
        <x:v>0.42222222222222222</x:v>
      </x:c>
      <x:c r="I16" s="20">
        <x:v>6</x:v>
      </x:c>
      <x:c r="J16" s="20">
        <x:v>6</x:v>
      </x:c>
      <x:c r="K16" s="10">
        <x:v>0</x:v>
      </x:c>
      <x:c r="L16" s="10">
        <x:v>0</x:v>
      </x:c>
      <x:c r="M16" s="10">
        <x:v>0</x:v>
      </x:c>
      <x:c r="N16" s="10">
        <x:f t="shared" si="1"/>
        <x:v>0</x:v>
      </x:c>
      <x:c r="O16" s="10">
        <x:v>0</x:v>
      </x:c>
      <x:c r="P16" s="10">
        <x:v>0</x:v>
      </x:c>
      <x:c r="Q16" s="20" t="s">
        <x:v>41</x:v>
      </x:c>
      <x:c r="R16"/>
    </x:row>
    <x:row r="17" s="16" customFormat="1">
      <x:c r="A17"/>
      <x:c r="B17" s="18"/>
      <x:c r="C17" s="18" t="s">
        <x:v>39</x:v>
      </x:c>
      <x:c r="D17" s="19" t="str">
        <x:f t="shared" si="0"/>
        <x:v>SD 1.1 x5NU(E)T</x:v>
      </x:c>
      <x:c r="E17" s="20" t="s">
        <x:v>50</x:v>
      </x:c>
      <x:c r="F17" s="18">
        <x:v>60625</x:v>
      </x:c>
      <x:c r="G17" s="18">
        <x:v>51081</x:v>
      </x:c>
      <x:c r="H17" s="21">
        <x:v>0.42222222222222222</x:v>
      </x:c>
      <x:c r="I17" s="20">
        <x:v>6</x:v>
      </x:c>
      <x:c r="J17" s="20">
        <x:v>7</x:v>
      </x:c>
      <x:c r="K17" s="10">
        <x:v>0</x:v>
      </x:c>
      <x:c r="L17" s="10">
        <x:v>0</x:v>
      </x:c>
      <x:c r="M17" s="10">
        <x:v>0</x:v>
      </x:c>
      <x:c r="N17" s="10">
        <x:f t="shared" si="1"/>
        <x:v>0</x:v>
      </x:c>
      <x:c r="O17" s="10">
        <x:v>1</x:v>
      </x:c>
      <x:c r="P17" s="10">
        <x:v>0</x:v>
      </x:c>
      <x:c r="Q17" s="20" t="s">
        <x:v>41</x:v>
      </x:c>
      <x:c r="R17"/>
    </x:row>
    <x:row r="18" s="16" customFormat="1">
      <x:c r="A18"/>
      <x:c r="B18" s="18"/>
      <x:c r="C18" s="18" t="s">
        <x:v>39</x:v>
      </x:c>
      <x:c r="D18" s="19" t="str">
        <x:f t="shared" si="0"/>
        <x:v>SD 1.1 x5NU(E)T</x:v>
      </x:c>
      <x:c r="E18" s="20" t="s">
        <x:v>50</x:v>
      </x:c>
      <x:c r="F18" s="18">
        <x:v>60625</x:v>
      </x:c>
      <x:c r="G18" s="18">
        <x:v>51081</x:v>
      </x:c>
      <x:c r="H18" s="21">
        <x:v>0.42222222222222222</x:v>
      </x:c>
      <x:c r="I18" s="20">
        <x:v>3</x:v>
      </x:c>
      <x:c r="J18" s="20">
        <x:v>8</x:v>
      </x:c>
      <x:c r="K18" s="10">
        <x:v>0</x:v>
      </x:c>
      <x:c r="L18" s="10">
        <x:v>0</x:v>
      </x:c>
      <x:c r="M18" s="10">
        <x:v>0</x:v>
      </x:c>
      <x:c r="N18" s="10">
        <x:f t="shared" si="1"/>
        <x:v>0</x:v>
      </x:c>
      <x:c r="O18" s="10">
        <x:v>0</x:v>
      </x:c>
      <x:c r="P18" s="10">
        <x:v>0</x:v>
      </x:c>
      <x:c r="Q18" s="20" t="s">
        <x:v>42</x:v>
      </x:c>
      <x:c r="R18"/>
    </x:row>
    <x:row r="19" s="16" customFormat="1">
      <x:c r="A19"/>
      <x:c r="B19" s="18"/>
      <x:c r="C19" s="18" t="s">
        <x:v>39</x:v>
      </x:c>
      <x:c r="D19" s="19" t="str">
        <x:f t="shared" si="0"/>
        <x:v>SD 1.1 x5NU(E)T</x:v>
      </x:c>
      <x:c r="E19" s="20" t="s">
        <x:v>50</x:v>
      </x:c>
      <x:c r="F19" s="18">
        <x:v>60625</x:v>
      </x:c>
      <x:c r="G19" s="18">
        <x:v>51081</x:v>
      </x:c>
      <x:c r="H19" s="21">
        <x:v>0.42222222222222222</x:v>
      </x:c>
      <x:c r="I19" s="20">
        <x:v>6</x:v>
      </x:c>
      <x:c r="J19" s="20">
        <x:v>9</x:v>
      </x:c>
      <x:c r="K19" s="10">
        <x:v>0</x:v>
      </x:c>
      <x:c r="L19" s="10">
        <x:v>0</x:v>
      </x:c>
      <x:c r="M19" s="10">
        <x:v>0</x:v>
      </x:c>
      <x:c r="N19" s="10">
        <x:f t="shared" si="1"/>
        <x:v>0</x:v>
      </x:c>
      <x:c r="O19" s="10">
        <x:v>0</x:v>
      </x:c>
      <x:c r="P19" s="10">
        <x:v>0</x:v>
      </x:c>
      <x:c r="Q19" s="20" t="s">
        <x:v>41</x:v>
      </x:c>
      <x:c r="R19"/>
    </x:row>
    <x:row r="20" s="16" customFormat="1">
      <x:c r="A20"/>
      <x:c r="B20" s="20"/>
      <x:c r="C20" s="18" t="s">
        <x:v>39</x:v>
      </x:c>
      <x:c r="D20" s="19" t="str">
        <x:f t="shared" si="0"/>
        <x:v>SD 1.1 x5NU(E)T</x:v>
      </x:c>
      <x:c r="E20" s="20" t="s">
        <x:v>50</x:v>
      </x:c>
      <x:c r="F20" s="18">
        <x:v>60625</x:v>
      </x:c>
      <x:c r="G20" s="18">
        <x:v>51081</x:v>
      </x:c>
      <x:c r="H20" s="21">
        <x:v>0.42222222222222222</x:v>
      </x:c>
      <x:c r="I20" s="20">
        <x:v>3</x:v>
      </x:c>
      <x:c r="J20" s="20">
        <x:v>10</x:v>
      </x:c>
      <x:c r="K20" s="10">
        <x:v>0</x:v>
      </x:c>
      <x:c r="L20" s="10">
        <x:v>0</x:v>
      </x:c>
      <x:c r="M20" s="10">
        <x:v>0</x:v>
      </x:c>
      <x:c r="N20" s="10">
        <x:f t="shared" si="1"/>
        <x:v>0</x:v>
      </x:c>
      <x:c r="O20" s="10">
        <x:v>0</x:v>
      </x:c>
      <x:c r="P20" s="10">
        <x:v>0</x:v>
      </x:c>
      <x:c r="Q20" s="20" t="s">
        <x:v>41</x:v>
      </x:c>
      <x:c r="R20"/>
    </x:row>
    <x:row r="21" s="16" customFormat="1">
      <x:c r="A21"/>
      <x:c r="B21" s="20"/>
      <x:c r="C21" s="18" t="s">
        <x:v>39</x:v>
      </x:c>
      <x:c r="D21" s="19" t="str">
        <x:f t="shared" si="0"/>
        <x:v>SD 1.1 x5NU(E)T</x:v>
      </x:c>
      <x:c r="E21" s="20" t="s">
        <x:v>50</x:v>
      </x:c>
      <x:c r="F21" s="18">
        <x:v>60625</x:v>
      </x:c>
      <x:c r="G21" s="18">
        <x:v>51081</x:v>
      </x:c>
      <x:c r="H21" s="21">
        <x:v>0.42222222222222222</x:v>
      </x:c>
      <x:c r="I21" s="20">
        <x:v>6</x:v>
      </x:c>
      <x:c r="J21" s="20">
        <x:v>11</x:v>
      </x:c>
      <x:c r="K21" s="10">
        <x:v>0</x:v>
      </x:c>
      <x:c r="L21" s="10">
        <x:v>0</x:v>
      </x:c>
      <x:c r="M21" s="10">
        <x:v>3</x:v>
      </x:c>
      <x:c r="N21" s="10">
        <x:f t="shared" si="1"/>
        <x:v>3</x:v>
      </x:c>
      <x:c r="O21" s="10">
        <x:v>0</x:v>
      </x:c>
      <x:c r="P21" s="10">
        <x:v>0</x:v>
      </x:c>
      <x:c r="Q21" s="20" t="s">
        <x:v>42</x:v>
      </x:c>
      <x:c r="R21"/>
    </x:row>
    <x:row r="22" s="16" customFormat="1">
      <x:c r="A22"/>
      <x:c r="B22" s="20"/>
      <x:c r="C22" s="18" t="s">
        <x:v>39</x:v>
      </x:c>
      <x:c r="D22" s="19" t="str">
        <x:f t="shared" si="0"/>
        <x:v>SD 1.1 x5NU(E)T</x:v>
      </x:c>
      <x:c r="E22" s="20" t="s">
        <x:v>50</x:v>
      </x:c>
      <x:c r="F22" s="18">
        <x:v>60625</x:v>
      </x:c>
      <x:c r="G22" s="18">
        <x:v>51081</x:v>
      </x:c>
      <x:c r="H22" s="21">
        <x:v>0.42222222222222222</x:v>
      </x:c>
      <x:c r="I22" s="20">
        <x:v>3</x:v>
      </x:c>
      <x:c r="J22" s="20">
        <x:v>12</x:v>
      </x:c>
      <x:c r="K22" s="10">
        <x:v>0</x:v>
      </x:c>
      <x:c r="L22" s="10">
        <x:v>0</x:v>
      </x:c>
      <x:c r="M22" s="10">
        <x:v>0</x:v>
      </x:c>
      <x:c r="N22" s="10">
        <x:f t="shared" si="1"/>
        <x:v>0</x:v>
      </x:c>
      <x:c r="O22" s="10">
        <x:v>0</x:v>
      </x:c>
      <x:c r="P22" s="10">
        <x:v>0</x:v>
      </x:c>
      <x:c r="Q22" s="20" t="s">
        <x:v>41</x:v>
      </x:c>
      <x:c r="R22"/>
    </x:row>
    <x:row r="23" s="16" customFormat="1" ht="15" customHeight="1">
      <x:c r="A23"/>
      <x:c r="B23" s="20"/>
      <x:c r="C23" s="18" t="s">
        <x:v>39</x:v>
      </x:c>
      <x:c r="D23" s="19" t="str">
        <x:f t="shared" si="0"/>
        <x:v>SD 1.1 x5NU(E)T</x:v>
      </x:c>
      <x:c r="E23" s="20" t="s">
        <x:v>50</x:v>
      </x:c>
      <x:c r="F23" s="18">
        <x:v>60625</x:v>
      </x:c>
      <x:c r="G23" s="18">
        <x:v>51081</x:v>
      </x:c>
      <x:c r="H23" s="21">
        <x:v>0.42222222222222222</x:v>
      </x:c>
      <x:c r="I23" s="20">
        <x:v>6</x:v>
      </x:c>
      <x:c r="J23" s="20">
        <x:v>13</x:v>
      </x:c>
      <x:c r="K23" s="10">
        <x:v>0</x:v>
      </x:c>
      <x:c r="L23" s="10">
        <x:v>0</x:v>
      </x:c>
      <x:c r="M23" s="10">
        <x:v>3</x:v>
      </x:c>
      <x:c r="N23" s="10">
        <x:f t="shared" si="1"/>
        <x:v>3</x:v>
      </x:c>
      <x:c r="O23" s="10">
        <x:v>1</x:v>
      </x:c>
      <x:c r="P23" s="10">
        <x:v>0</x:v>
      </x:c>
      <x:c r="Q23" s="20" t="s">
        <x:v>42</x:v>
      </x:c>
      <x:c r="R23"/>
    </x:row>
    <x:row r="24" s="16" customFormat="1" ht="15" customHeight="1">
      <x:c r="A24"/>
      <x:c r="B24" s="20"/>
      <x:c r="C24" s="18" t="s">
        <x:v>39</x:v>
      </x:c>
      <x:c r="D24" s="19" t="str">
        <x:f t="shared" si="0"/>
        <x:v>SD 1.1 x5NU(E)T</x:v>
      </x:c>
      <x:c r="E24" s="20" t="s">
        <x:v>50</x:v>
      </x:c>
      <x:c r="F24" s="18">
        <x:v>60625</x:v>
      </x:c>
      <x:c r="G24" s="18">
        <x:v>51081</x:v>
      </x:c>
      <x:c r="H24" s="21">
        <x:v>0.42222222222222222</x:v>
      </x:c>
      <x:c r="I24" s="20">
        <x:v>3</x:v>
      </x:c>
      <x:c r="J24" s="20">
        <x:v>14</x:v>
      </x:c>
      <x:c r="K24" s="10">
        <x:v>0</x:v>
      </x:c>
      <x:c r="L24" s="10">
        <x:v>0</x:v>
      </x:c>
      <x:c r="M24" s="10">
        <x:v>0</x:v>
      </x:c>
      <x:c r="N24" s="10">
        <x:f t="shared" si="1"/>
        <x:v>0</x:v>
      </x:c>
      <x:c r="O24" s="10">
        <x:v>0</x:v>
      </x:c>
      <x:c r="P24" s="10">
        <x:v>0</x:v>
      </x:c>
      <x:c r="Q24" s="20" t="s">
        <x:v>41</x:v>
      </x:c>
      <x:c r="R24"/>
    </x:row>
    <x:row r="25" s="16" customFormat="1" ht="15" customHeight="1">
      <x:c r="A25"/>
      <x:c r="B25" s="27"/>
      <x:c r="C25" s="25" t="s">
        <x:v>39</x:v>
      </x:c>
      <x:c r="D25" s="26" t="str">
        <x:f t="shared" si="0"/>
        <x:v>SD 1.1 x5NU(E)T</x:v>
      </x:c>
      <x:c r="E25" s="27" t="s">
        <x:v>50</x:v>
      </x:c>
      <x:c r="F25" s="25">
        <x:v>60625</x:v>
      </x:c>
      <x:c r="G25" s="18">
        <x:v>51081</x:v>
      </x:c>
      <x:c r="H25" s="28">
        <x:v>0.42222222222222222</x:v>
      </x:c>
      <x:c r="I25" s="27">
        <x:v>6</x:v>
      </x:c>
      <x:c r="J25" s="27">
        <x:v>15</x:v>
      </x:c>
      <x:c r="K25" s="29">
        <x:v>0</x:v>
      </x:c>
      <x:c r="L25" s="29">
        <x:v>0</x:v>
      </x:c>
      <x:c r="M25" s="29">
        <x:v>1</x:v>
      </x:c>
      <x:c r="N25" s="29">
        <x:f t="shared" si="1"/>
        <x:v>1</x:v>
      </x:c>
      <x:c r="O25" s="29">
        <x:v>0</x:v>
      </x:c>
      <x:c r="P25" s="29">
        <x:v>0</x:v>
      </x:c>
      <x:c r="Q25" s="27" t="s">
        <x:v>42</x:v>
      </x:c>
      <x:c r="R25"/>
    </x:row>
    <x:row r="26" s="16" customFormat="1">
      <x:c r="A26"/>
      <x:c r="B26" s="31"/>
      <x:c r="C26" s="32"/>
      <x:c r="D26" s="33"/>
      <x:c r="E26" s="31"/>
      <x:c r="F26" s="32"/>
      <x:c r="G26" s="32"/>
      <x:c r="H26" s="34"/>
      <x:c r="I26" s="34"/>
      <x:c r="J26" s="31"/>
      <x:c r="K26" s="35"/>
      <x:c r="L26" s="35"/>
      <x:c r="M26" s="35"/>
      <x:c r="N26" s="35"/>
      <x:c r="O26" s="35"/>
      <x:c r="P26" s="35"/>
      <x:c r="Q26" s="31"/>
      <x:c r="R26"/>
    </x:row>
    <x:row r="27" s="16" customFormat="1">
      <x:c r="A27"/>
      <x:c r="F27" s="22"/>
      <x:c r="H27" s="23"/>
      <x:c r="I27" s="23"/>
      <x:c r="J27" s="23"/>
      <x:c r="K27" s="24"/>
      <x:c r="L27" s="24"/>
      <x:c r="M27" s="24"/>
      <x:c r="N27" s="24"/>
      <x:c r="O27" s="24"/>
      <x:c r="P27" s="24"/>
      <x:c r="R27"/>
    </x:row>
    <x:row r="28" s="16" customFormat="1">
      <x:c r="A28"/>
      <x:c r="F28" s="22"/>
      <x:c r="H28" s="23"/>
      <x:c r="I28" s="23"/>
      <x:c r="J28" s="23"/>
      <x:c r="K28" s="24"/>
      <x:c r="L28" s="24"/>
      <x:c r="M28" s="24"/>
      <x:c r="N28" s="24"/>
      <x:c r="O28" s="24"/>
      <x:c r="P28" s="24"/>
      <x:c r="R28"/>
    </x:row>
    <x:row r="29" s="16" customFormat="1">
      <x:c r="A29"/>
      <x:c r="B29" s="57" t="s">
        <x:v>20</x:v>
      </x:c>
      <x:c r="C29" s="57" t="s">
        <x:v>21</x:v>
      </x:c>
      <x:c r="D29" s="56" t="s">
        <x:v>22</x:v>
      </x:c>
      <x:c r="E29" s="9" t="s">
        <x:v>23</x:v>
      </x:c>
      <x:c r="F29" s="14" t="s">
        <x:v>24</x:v>
      </x:c>
      <x:c r="G29" s="9" t="s">
        <x:v>24</x:v>
      </x:c>
      <x:c r="H29" s="58" t="s">
        <x:v>25</x:v>
      </x:c>
      <x:c r="I29" s="15"/>
      <x:c r="J29" s="15"/>
      <x:c r="K29" s="59" t="s">
        <x:v>26</x:v>
      </x:c>
      <x:c r="L29" s="59"/>
      <x:c r="M29" s="59"/>
      <x:c r="N29" s="59"/>
      <x:c r="O29" s="59"/>
      <x:c r="P29" s="59"/>
      <x:c r="Q29" s="56" t="s">
        <x:v>27</x:v>
      </x:c>
      <x:c r="R29"/>
    </x:row>
    <x:row r="30" s="16" customFormat="1" ht="28.799999237060547">
      <x:c r="A30"/>
      <x:c r="B30" s="56"/>
      <x:c r="C30" s="56"/>
      <x:c r="D30" s="56"/>
      <x:c r="E30" s="7" t="s">
        <x:v>28</x:v>
      </x:c>
      <x:c r="F30" s="8" t="s">
        <x:v>29</x:v>
      </x:c>
      <x:c r="G30" s="8" t="s">
        <x:v>30</x:v>
      </x:c>
      <x:c r="H30" s="58"/>
      <x:c r="I30" s="15" t="s">
        <x:v>31</x:v>
      </x:c>
      <x:c r="J30" s="15" t="s">
        <x:v>32</x:v>
      </x:c>
      <x:c r="K30" s="17" t="s">
        <x:v>33</x:v>
      </x:c>
      <x:c r="L30" s="17" t="s">
        <x:v>34</x:v>
      </x:c>
      <x:c r="M30" s="17" t="s">
        <x:v>35</x:v>
      </x:c>
      <x:c r="N30" s="17" t="s">
        <x:v>36</x:v>
      </x:c>
      <x:c r="O30" s="17" t="s">
        <x:v>10</x:v>
      </x:c>
      <x:c r="P30" s="17" t="s">
        <x:v>37</x:v>
      </x:c>
      <x:c r="Q30" s="56"/>
      <x:c r="R30"/>
    </x:row>
    <x:row r="31" s="16" customFormat="1">
      <x:c r="A31"/>
      <x:c r="B31" s="18" t="s">
        <x:v>38</x:v>
      </x:c>
      <x:c r="C31" s="18" t="s">
        <x:v>39</x:v>
      </x:c>
      <x:c r="D31" s="19" t="str">
        <x:f>$B$1</x:f>
        <x:v>SD 1.1 x5NU(E)T</x:v>
      </x:c>
      <x:c r="E31" s="20" t="s">
        <x:v>50</x:v>
      </x:c>
      <x:c r="F31" s="18">
        <x:v>60625</x:v>
      </x:c>
      <x:c r="G31" s="18">
        <x:v>51081</x:v>
      </x:c>
      <x:c r="H31" s="21">
        <x:v>0.42222222222222222</x:v>
      </x:c>
      <x:c r="I31" s="20">
        <x:v>3</x:v>
      </x:c>
      <x:c r="J31" s="20">
        <x:v>1</x:v>
      </x:c>
      <x:c r="K31" s="10">
        <x:v>0</x:v>
      </x:c>
      <x:c r="L31" s="10">
        <x:v>0</x:v>
      </x:c>
      <x:c r="M31" s="10">
        <x:v>2</x:v>
      </x:c>
      <x:c r="N31" s="10" t="n">
        <x:f>L31+M31</x:f>
        <x:v>2</x:v>
      </x:c>
      <x:c r="O31" s="10">
        <x:v>0</x:v>
      </x:c>
      <x:c r="P31" s="10">
        <x:v>0</x:v>
      </x:c>
      <x:c r="Q31" s="20" t="s">
        <x:v>43</x:v>
      </x:c>
      <x:c r="R31"/>
    </x:row>
    <x:row r="32" s="16" customFormat="1">
      <x:c r="A32"/>
      <x:c r="B32" s="18"/>
      <x:c r="C32" s="18" t="s">
        <x:v>39</x:v>
      </x:c>
      <x:c r="D32" s="19" t="str">
        <x:f t="shared" ref="D32:D45" si="2">$B$1</x:f>
        <x:v>SD 1.1 x5NU(E)T</x:v>
      </x:c>
      <x:c r="E32" s="20" t="s">
        <x:v>50</x:v>
      </x:c>
      <x:c r="F32" s="18">
        <x:v>60625</x:v>
      </x:c>
      <x:c r="G32" s="18">
        <x:v>51081</x:v>
      </x:c>
      <x:c r="H32" s="21">
        <x:v>0.42222222222222222</x:v>
      </x:c>
      <x:c r="I32" s="20">
        <x:v>6</x:v>
      </x:c>
      <x:c r="J32" s="20">
        <x:v>2</x:v>
      </x:c>
      <x:c r="K32" s="10">
        <x:v>0</x:v>
      </x:c>
      <x:c r="L32" s="10">
        <x:v>0</x:v>
      </x:c>
      <x:c r="M32" s="10">
        <x:v>0</x:v>
      </x:c>
      <x:c r="N32" s="10" t="n">
        <x:f>L32+M32</x:f>
        <x:v>0</x:v>
      </x:c>
      <x:c r="O32" s="10">
        <x:v>0</x:v>
      </x:c>
      <x:c r="P32" s="10">
        <x:v>0</x:v>
      </x:c>
      <x:c r="Q32" s="20" t="s">
        <x:v>43</x:v>
      </x:c>
      <x:c r="R32"/>
    </x:row>
    <x:row r="33" s="16" customFormat="1">
      <x:c r="A33"/>
      <x:c r="B33" s="18"/>
      <x:c r="C33" s="18" t="s">
        <x:v>39</x:v>
      </x:c>
      <x:c r="D33" s="19" t="str">
        <x:f t="shared" si="2"/>
        <x:v>SD 1.1 x5NU(E)T</x:v>
      </x:c>
      <x:c r="E33" s="20" t="s">
        <x:v>50</x:v>
      </x:c>
      <x:c r="F33" s="18">
        <x:v>60625</x:v>
      </x:c>
      <x:c r="G33" s="18">
        <x:v>51081</x:v>
      </x:c>
      <x:c r="H33" s="21">
        <x:v>0.42222222222222222</x:v>
      </x:c>
      <x:c r="I33" s="20">
        <x:v>3</x:v>
      </x:c>
      <x:c r="J33" s="20">
        <x:v>3</x:v>
      </x:c>
      <x:c r="K33" s="10">
        <x:v>0</x:v>
      </x:c>
      <x:c r="L33" s="10">
        <x:v>0</x:v>
      </x:c>
      <x:c r="M33" s="10">
        <x:v>1</x:v>
      </x:c>
      <x:c r="N33" s="10" t="n">
        <x:f t="shared" ref="N33:N45" si="3">L33+M33</x:f>
        <x:v>1</x:v>
      </x:c>
      <x:c r="O33" s="10">
        <x:v>0</x:v>
      </x:c>
      <x:c r="P33" s="10">
        <x:v>0</x:v>
      </x:c>
      <x:c r="Q33" s="20" t="s">
        <x:v>43</x:v>
      </x:c>
      <x:c r="R33"/>
    </x:row>
    <x:row r="34" s="16" customFormat="1">
      <x:c r="A34"/>
      <x:c r="B34" s="20"/>
      <x:c r="C34" s="18" t="s">
        <x:v>39</x:v>
      </x:c>
      <x:c r="D34" s="19" t="str">
        <x:f t="shared" si="2"/>
        <x:v>SD 1.1 x5NU(E)T</x:v>
      </x:c>
      <x:c r="E34" s="20" t="s">
        <x:v>50</x:v>
      </x:c>
      <x:c r="F34" s="18">
        <x:v>60625</x:v>
      </x:c>
      <x:c r="G34" s="18">
        <x:v>51081</x:v>
      </x:c>
      <x:c r="H34" s="21">
        <x:v>0.42222222222222222</x:v>
      </x:c>
      <x:c r="I34" s="20">
        <x:v>6</x:v>
      </x:c>
      <x:c r="J34" s="20">
        <x:v>4</x:v>
      </x:c>
      <x:c r="K34" s="10">
        <x:v>0</x:v>
      </x:c>
      <x:c r="L34" s="10">
        <x:v>0</x:v>
      </x:c>
      <x:c r="M34" s="10">
        <x:v>6</x:v>
      </x:c>
      <x:c r="N34" s="10">
        <x:f t="shared" si="3"/>
        <x:v>6</x:v>
      </x:c>
      <x:c r="O34" s="10">
        <x:v>0</x:v>
      </x:c>
      <x:c r="P34" s="10">
        <x:v>0</x:v>
      </x:c>
      <x:c r="Q34" s="20" t="s">
        <x:v>43</x:v>
      </x:c>
      <x:c r="R34"/>
    </x:row>
    <x:row r="35" s="16" customFormat="1">
      <x:c r="A35"/>
      <x:c r="B35" s="20"/>
      <x:c r="C35" s="18" t="s">
        <x:v>39</x:v>
      </x:c>
      <x:c r="D35" s="19" t="str">
        <x:f t="shared" si="2"/>
        <x:v>SD 1.1 x5NU(E)T</x:v>
      </x:c>
      <x:c r="E35" s="20" t="s">
        <x:v>50</x:v>
      </x:c>
      <x:c r="F35" s="18">
        <x:v>60625</x:v>
      </x:c>
      <x:c r="G35" s="18">
        <x:v>51081</x:v>
      </x:c>
      <x:c r="H35" s="21">
        <x:v>0.42222222222222222</x:v>
      </x:c>
      <x:c r="I35" s="20">
        <x:v>3</x:v>
      </x:c>
      <x:c r="J35" s="20">
        <x:v>5</x:v>
      </x:c>
      <x:c r="K35" s="10">
        <x:v>0</x:v>
      </x:c>
      <x:c r="L35" s="10">
        <x:v>0</x:v>
      </x:c>
      <x:c r="M35" s="10">
        <x:v>0</x:v>
      </x:c>
      <x:c r="N35" s="10">
        <x:f t="shared" si="3"/>
        <x:v>0</x:v>
      </x:c>
      <x:c r="O35" s="10">
        <x:v>1</x:v>
      </x:c>
      <x:c r="P35" s="10">
        <x:v>0</x:v>
      </x:c>
      <x:c r="Q35" s="20" t="s">
        <x:v>43</x:v>
      </x:c>
      <x:c r="R35"/>
    </x:row>
    <x:row r="36" s="16" customFormat="1">
      <x:c r="A36"/>
      <x:c r="B36" s="20"/>
      <x:c r="C36" s="18" t="s">
        <x:v>39</x:v>
      </x:c>
      <x:c r="D36" s="19" t="str">
        <x:f t="shared" si="2"/>
        <x:v>SD 1.1 x5NU(E)T</x:v>
      </x:c>
      <x:c r="E36" s="20" t="s">
        <x:v>50</x:v>
      </x:c>
      <x:c r="F36" s="18">
        <x:v>60625</x:v>
      </x:c>
      <x:c r="G36" s="18">
        <x:v>51081</x:v>
      </x:c>
      <x:c r="H36" s="21">
        <x:v>0.42222222222222222</x:v>
      </x:c>
      <x:c r="I36" s="20">
        <x:v>6</x:v>
      </x:c>
      <x:c r="J36" s="20">
        <x:v>6</x:v>
      </x:c>
      <x:c r="K36" s="10">
        <x:v>0</x:v>
      </x:c>
      <x:c r="L36" s="10">
        <x:v>0</x:v>
      </x:c>
      <x:c r="M36" s="10">
        <x:v>0</x:v>
      </x:c>
      <x:c r="N36" s="10">
        <x:f t="shared" si="3"/>
        <x:v>0</x:v>
      </x:c>
      <x:c r="O36" s="10">
        <x:v>0</x:v>
      </x:c>
      <x:c r="P36" s="10">
        <x:v>0</x:v>
      </x:c>
      <x:c r="Q36" s="20" t="s">
        <x:v>43</x:v>
      </x:c>
      <x:c r="R36"/>
    </x:row>
    <x:row r="37" s="16" customFormat="1">
      <x:c r="A37"/>
      <x:c r="B37" s="18"/>
      <x:c r="C37" s="18" t="s">
        <x:v>39</x:v>
      </x:c>
      <x:c r="D37" s="19" t="str">
        <x:f t="shared" si="2"/>
        <x:v>SD 1.1 x5NU(E)T</x:v>
      </x:c>
      <x:c r="E37" s="20" t="s">
        <x:v>50</x:v>
      </x:c>
      <x:c r="F37" s="18">
        <x:v>60625</x:v>
      </x:c>
      <x:c r="G37" s="18">
        <x:v>51081</x:v>
      </x:c>
      <x:c r="H37" s="21">
        <x:v>0.42222222222222222</x:v>
      </x:c>
      <x:c r="I37" s="20">
        <x:v>3</x:v>
      </x:c>
      <x:c r="J37" s="20">
        <x:v>7</x:v>
      </x:c>
      <x:c r="K37" s="10">
        <x:v>0</x:v>
      </x:c>
      <x:c r="L37" s="10">
        <x:v>0</x:v>
      </x:c>
      <x:c r="M37" s="10">
        <x:v>0</x:v>
      </x:c>
      <x:c r="N37" s="10">
        <x:f t="shared" si="3"/>
        <x:v>0</x:v>
      </x:c>
      <x:c r="O37" s="10">
        <x:v>0</x:v>
      </x:c>
      <x:c r="P37" s="10">
        <x:v>0</x:v>
      </x:c>
      <x:c r="Q37" s="20" t="s">
        <x:v>43</x:v>
      </x:c>
      <x:c r="R37"/>
    </x:row>
    <x:row r="38" s="16" customFormat="1">
      <x:c r="A38"/>
      <x:c r="B38" s="18"/>
      <x:c r="C38" s="18" t="s">
        <x:v>39</x:v>
      </x:c>
      <x:c r="D38" s="19" t="str">
        <x:f t="shared" si="2"/>
        <x:v>SD 1.1 x5NU(E)T</x:v>
      </x:c>
      <x:c r="E38" s="20" t="s">
        <x:v>50</x:v>
      </x:c>
      <x:c r="F38" s="18">
        <x:v>60625</x:v>
      </x:c>
      <x:c r="G38" s="18">
        <x:v>51081</x:v>
      </x:c>
      <x:c r="H38" s="21">
        <x:v>0.42222222222222222</x:v>
      </x:c>
      <x:c r="I38" s="20">
        <x:v>6</x:v>
      </x:c>
      <x:c r="J38" s="20">
        <x:v>8</x:v>
      </x:c>
      <x:c r="K38" s="10">
        <x:v>0</x:v>
      </x:c>
      <x:c r="L38" s="10">
        <x:v>0</x:v>
      </x:c>
      <x:c r="M38" s="10">
        <x:v>0</x:v>
      </x:c>
      <x:c r="N38" s="10">
        <x:f t="shared" si="3"/>
        <x:v>0</x:v>
      </x:c>
      <x:c r="O38" s="10">
        <x:v>0</x:v>
      </x:c>
      <x:c r="P38" s="10">
        <x:v>0</x:v>
      </x:c>
      <x:c r="Q38" s="20" t="s">
        <x:v>43</x:v>
      </x:c>
      <x:c r="R38"/>
    </x:row>
    <x:row r="39" s="16" customFormat="1">
      <x:c r="A39"/>
      <x:c r="B39" s="18"/>
      <x:c r="C39" s="18" t="s">
        <x:v>39</x:v>
      </x:c>
      <x:c r="D39" s="19" t="str">
        <x:f t="shared" si="2"/>
        <x:v>SD 1.1 x5NU(E)T</x:v>
      </x:c>
      <x:c r="E39" s="20" t="s">
        <x:v>50</x:v>
      </x:c>
      <x:c r="F39" s="18">
        <x:v>60625</x:v>
      </x:c>
      <x:c r="G39" s="18">
        <x:v>51081</x:v>
      </x:c>
      <x:c r="H39" s="21">
        <x:v>0.42222222222222222</x:v>
      </x:c>
      <x:c r="I39" s="20">
        <x:v>3</x:v>
      </x:c>
      <x:c r="J39" s="20">
        <x:v>9</x:v>
      </x:c>
      <x:c r="K39" s="10">
        <x:v>0</x:v>
      </x:c>
      <x:c r="L39" s="10">
        <x:v>0</x:v>
      </x:c>
      <x:c r="M39" s="10">
        <x:v>1</x:v>
      </x:c>
      <x:c r="N39" s="10">
        <x:f t="shared" si="3"/>
        <x:v>1</x:v>
      </x:c>
      <x:c r="O39" s="10">
        <x:v>0</x:v>
      </x:c>
      <x:c r="P39" s="10">
        <x:v>0</x:v>
      </x:c>
      <x:c r="Q39" s="20" t="s">
        <x:v>43</x:v>
      </x:c>
      <x:c r="R39"/>
    </x:row>
    <x:row r="40" s="16" customFormat="1">
      <x:c r="A40"/>
      <x:c r="B40" s="20"/>
      <x:c r="C40" s="18" t="s">
        <x:v>39</x:v>
      </x:c>
      <x:c r="D40" s="19" t="str">
        <x:f t="shared" si="2"/>
        <x:v>SD 1.1 x5NU(E)T</x:v>
      </x:c>
      <x:c r="E40" s="20" t="s">
        <x:v>50</x:v>
      </x:c>
      <x:c r="F40" s="18">
        <x:v>60625</x:v>
      </x:c>
      <x:c r="G40" s="18">
        <x:v>51081</x:v>
      </x:c>
      <x:c r="H40" s="21">
        <x:v>0.42222222222222222</x:v>
      </x:c>
      <x:c r="I40" s="20">
        <x:v>6</x:v>
      </x:c>
      <x:c r="J40" s="20">
        <x:v>10</x:v>
      </x:c>
      <x:c r="K40" s="10">
        <x:v>0</x:v>
      </x:c>
      <x:c r="L40" s="10">
        <x:v>0</x:v>
      </x:c>
      <x:c r="M40" s="10">
        <x:v>0</x:v>
      </x:c>
      <x:c r="N40" s="10">
        <x:f t="shared" si="3"/>
        <x:v>0</x:v>
      </x:c>
      <x:c r="O40" s="10">
        <x:v>0</x:v>
      </x:c>
      <x:c r="P40" s="10">
        <x:v>0</x:v>
      </x:c>
      <x:c r="Q40" s="20" t="s">
        <x:v>43</x:v>
      </x:c>
      <x:c r="R40"/>
    </x:row>
    <x:row r="41" s="16" customFormat="1">
      <x:c r="A41"/>
      <x:c r="B41" s="20"/>
      <x:c r="C41" s="18" t="s">
        <x:v>39</x:v>
      </x:c>
      <x:c r="D41" s="19" t="str">
        <x:f t="shared" si="2"/>
        <x:v>SD 1.1 x5NU(E)T</x:v>
      </x:c>
      <x:c r="E41" s="20" t="s">
        <x:v>50</x:v>
      </x:c>
      <x:c r="F41" s="18">
        <x:v>60625</x:v>
      </x:c>
      <x:c r="G41" s="18">
        <x:v>51081</x:v>
      </x:c>
      <x:c r="H41" s="21">
        <x:v>0.42222222222222222</x:v>
      </x:c>
      <x:c r="I41" s="20">
        <x:v>3</x:v>
      </x:c>
      <x:c r="J41" s="20">
        <x:v>11</x:v>
      </x:c>
      <x:c r="K41" s="10">
        <x:v>0</x:v>
      </x:c>
      <x:c r="L41" s="10">
        <x:v>0</x:v>
      </x:c>
      <x:c r="M41" s="10">
        <x:v>1</x:v>
      </x:c>
      <x:c r="N41" s="10">
        <x:f t="shared" si="3"/>
        <x:v>1</x:v>
      </x:c>
      <x:c r="O41" s="10">
        <x:v>0</x:v>
      </x:c>
      <x:c r="P41" s="10">
        <x:v>0</x:v>
      </x:c>
      <x:c r="Q41" s="20" t="s">
        <x:v>43</x:v>
      </x:c>
      <x:c r="R41"/>
    </x:row>
    <x:row r="42" s="16" customFormat="1">
      <x:c r="A42"/>
      <x:c r="B42" s="20"/>
      <x:c r="C42" s="18" t="s">
        <x:v>39</x:v>
      </x:c>
      <x:c r="D42" s="19" t="str">
        <x:f t="shared" si="2"/>
        <x:v>SD 1.1 x5NU(E)T</x:v>
      </x:c>
      <x:c r="E42" s="20" t="s">
        <x:v>50</x:v>
      </x:c>
      <x:c r="F42" s="18">
        <x:v>60625</x:v>
      </x:c>
      <x:c r="G42" s="18">
        <x:v>51081</x:v>
      </x:c>
      <x:c r="H42" s="21">
        <x:v>0.42222222222222222</x:v>
      </x:c>
      <x:c r="I42" s="20">
        <x:v>6</x:v>
      </x:c>
      <x:c r="J42" s="20">
        <x:v>12</x:v>
      </x:c>
      <x:c r="K42" s="10">
        <x:v>0</x:v>
      </x:c>
      <x:c r="L42" s="10">
        <x:v>0</x:v>
      </x:c>
      <x:c r="M42" s="10">
        <x:v>0</x:v>
      </x:c>
      <x:c r="N42" s="10">
        <x:f t="shared" si="3"/>
        <x:v>0</x:v>
      </x:c>
      <x:c r="O42" s="10">
        <x:v>1</x:v>
      </x:c>
      <x:c r="P42" s="10">
        <x:v>0</x:v>
      </x:c>
      <x:c r="Q42" s="20" t="s">
        <x:v>43</x:v>
      </x:c>
      <x:c r="R42"/>
    </x:row>
    <x:row r="43" s="16" customFormat="1">
      <x:c r="A43"/>
      <x:c r="B43" s="20"/>
      <x:c r="C43" s="18" t="s">
        <x:v>39</x:v>
      </x:c>
      <x:c r="D43" s="19" t="str">
        <x:f t="shared" si="2"/>
        <x:v>SD 1.1 x5NU(E)T</x:v>
      </x:c>
      <x:c r="E43" s="20" t="s">
        <x:v>50</x:v>
      </x:c>
      <x:c r="F43" s="18">
        <x:v>60625</x:v>
      </x:c>
      <x:c r="G43" s="18">
        <x:v>51081</x:v>
      </x:c>
      <x:c r="H43" s="21">
        <x:v>0.42222222222222222</x:v>
      </x:c>
      <x:c r="I43" s="20">
        <x:v>6</x:v>
      </x:c>
      <x:c r="J43" s="20">
        <x:v>13</x:v>
      </x:c>
      <x:c r="K43" s="10">
        <x:v>0</x:v>
      </x:c>
      <x:c r="L43" s="10">
        <x:v>0</x:v>
      </x:c>
      <x:c r="M43" s="10">
        <x:v>0</x:v>
      </x:c>
      <x:c r="N43" s="10">
        <x:f t="shared" si="3"/>
        <x:v>0</x:v>
      </x:c>
      <x:c r="O43" s="10">
        <x:v>0</x:v>
      </x:c>
      <x:c r="P43" s="10">
        <x:v>0</x:v>
      </x:c>
      <x:c r="Q43" s="20" t="s">
        <x:v>43</x:v>
      </x:c>
      <x:c r="R43"/>
    </x:row>
    <x:row r="44" s="16" customFormat="1">
      <x:c r="A44"/>
      <x:c r="B44" s="20"/>
      <x:c r="C44" s="18" t="s">
        <x:v>39</x:v>
      </x:c>
      <x:c r="D44" s="19" t="str">
        <x:f t="shared" si="2"/>
        <x:v>SD 1.1 x5NU(E)T</x:v>
      </x:c>
      <x:c r="E44" s="20" t="s">
        <x:v>50</x:v>
      </x:c>
      <x:c r="F44" s="18">
        <x:v>60625</x:v>
      </x:c>
      <x:c r="G44" s="18">
        <x:v>51081</x:v>
      </x:c>
      <x:c r="H44" s="21">
        <x:v>0.42222222222222222</x:v>
      </x:c>
      <x:c r="I44" s="20">
        <x:v>3</x:v>
      </x:c>
      <x:c r="J44" s="20">
        <x:v>14</x:v>
      </x:c>
      <x:c r="K44" s="10">
        <x:v>0</x:v>
      </x:c>
      <x:c r="L44" s="10">
        <x:v>0</x:v>
      </x:c>
      <x:c r="M44" s="10">
        <x:v>0</x:v>
      </x:c>
      <x:c r="N44" s="10">
        <x:f t="shared" si="3"/>
        <x:v>0</x:v>
      </x:c>
      <x:c r="O44" s="10">
        <x:v>0</x:v>
      </x:c>
      <x:c r="P44" s="10">
        <x:v>0</x:v>
      </x:c>
      <x:c r="Q44" s="20" t="s">
        <x:v>43</x:v>
      </x:c>
      <x:c r="R44"/>
    </x:row>
    <x:row r="45" s="16" customFormat="1">
      <x:c r="A45"/>
      <x:c r="B45" s="20"/>
      <x:c r="C45" s="18" t="s">
        <x:v>39</x:v>
      </x:c>
      <x:c r="D45" s="19" t="str">
        <x:f t="shared" si="2"/>
        <x:v>SD 1.1 x5NU(E)T</x:v>
      </x:c>
      <x:c r="E45" s="20" t="s">
        <x:v>50</x:v>
      </x:c>
      <x:c r="F45" s="18">
        <x:v>60625</x:v>
      </x:c>
      <x:c r="G45" s="18">
        <x:v>51081</x:v>
      </x:c>
      <x:c r="H45" s="21">
        <x:v>0.42222222222222222</x:v>
      </x:c>
      <x:c r="I45" s="20">
        <x:v>6</x:v>
      </x:c>
      <x:c r="J45" s="20">
        <x:v>15</x:v>
      </x:c>
      <x:c r="K45" s="10">
        <x:v>0</x:v>
      </x:c>
      <x:c r="L45" s="10">
        <x:v>0</x:v>
      </x:c>
      <x:c r="M45" s="10">
        <x:v>0</x:v>
      </x:c>
      <x:c r="N45" s="10">
        <x:f t="shared" si="3"/>
        <x:v>0</x:v>
      </x:c>
      <x:c r="O45" s="10">
        <x:v>1</x:v>
      </x:c>
      <x:c r="P45" s="10">
        <x:v>0</x:v>
      </x:c>
      <x:c r="Q45" s="20" t="s">
        <x:v>43</x:v>
      </x:c>
      <x:c r="R45"/>
    </x:row>
    <x:row r="46" s="16" customFormat="1">
      <x:c r="A46"/>
      <x:c r="F46" s="22"/>
      <x:c r="H46" s="23"/>
      <x:c r="I46" s="23"/>
      <x:c r="J46" s="23"/>
      <x:c r="K46" s="24"/>
      <x:c r="L46" s="24"/>
      <x:c r="M46" s="24"/>
      <x:c r="N46" s="24"/>
      <x:c r="O46" s="24"/>
      <x:c r="P46" s="24"/>
      <x:c r="R46"/>
    </x:row>
    <x:row r="47" s="16" customFormat="1">
      <x:c r="A47"/>
      <x:c r="F47" s="22"/>
      <x:c r="H47" s="23"/>
      <x:c r="I47" s="23"/>
      <x:c r="J47" s="23"/>
      <x:c r="K47" s="24"/>
      <x:c r="L47" s="24"/>
      <x:c r="M47" s="24"/>
      <x:c r="N47" s="24"/>
      <x:c r="O47" s="24"/>
      <x:c r="P47" s="24"/>
      <x:c r="R47"/>
    </x:row>
    <x:row r="48" s="16" customFormat="1">
      <x:c r="A48"/>
      <x:c r="F48" s="22"/>
      <x:c r="H48" s="23"/>
      <x:c r="I48" s="23"/>
      <x:c r="J48" s="23"/>
      <x:c r="K48" s="24"/>
      <x:c r="L48" s="24"/>
      <x:c r="M48" s="24"/>
      <x:c r="N48" s="24"/>
      <x:c r="O48" s="24"/>
      <x:c r="P48" s="24"/>
      <x:c r="R48"/>
    </x:row>
    <x:row r="49" s="16" customFormat="1" ht="14.550000190734863" customHeight="1">
      <x:c r="A49"/>
      <x:c r="B49" s="57" t="s">
        <x:v>20</x:v>
      </x:c>
      <x:c r="C49" s="57" t="s">
        <x:v>21</x:v>
      </x:c>
      <x:c r="D49" s="56" t="s">
        <x:v>22</x:v>
      </x:c>
      <x:c r="E49" s="9" t="s">
        <x:v>23</x:v>
      </x:c>
      <x:c r="F49" s="14" t="s">
        <x:v>24</x:v>
      </x:c>
      <x:c r="G49" s="9" t="s">
        <x:v>24</x:v>
      </x:c>
      <x:c r="H49" s="58" t="s">
        <x:v>25</x:v>
      </x:c>
      <x:c r="I49" s="15"/>
      <x:c r="J49" s="15"/>
      <x:c r="K49" s="59" t="s">
        <x:v>26</x:v>
      </x:c>
      <x:c r="L49" s="59"/>
      <x:c r="M49" s="59"/>
      <x:c r="N49" s="59"/>
      <x:c r="O49" s="59"/>
      <x:c r="P49" s="59"/>
      <x:c r="Q49" s="56" t="s">
        <x:v>27</x:v>
      </x:c>
      <x:c r="R49"/>
    </x:row>
    <x:row r="50" s="16" customFormat="1" ht="28.799999237060547">
      <x:c r="A50"/>
      <x:c r="B50" s="56"/>
      <x:c r="C50" s="56"/>
      <x:c r="D50" s="56"/>
      <x:c r="E50" s="7" t="s">
        <x:v>28</x:v>
      </x:c>
      <x:c r="F50" s="8" t="s">
        <x:v>29</x:v>
      </x:c>
      <x:c r="G50" s="8" t="s">
        <x:v>30</x:v>
      </x:c>
      <x:c r="H50" s="58"/>
      <x:c r="I50" s="15" t="s">
        <x:v>31</x:v>
      </x:c>
      <x:c r="J50" s="15" t="s">
        <x:v>32</x:v>
      </x:c>
      <x:c r="K50" s="17" t="s">
        <x:v>33</x:v>
      </x:c>
      <x:c r="L50" s="17" t="s">
        <x:v>34</x:v>
      </x:c>
      <x:c r="M50" s="17" t="s">
        <x:v>35</x:v>
      </x:c>
      <x:c r="N50" s="17" t="s">
        <x:v>36</x:v>
      </x:c>
      <x:c r="O50" s="17" t="s">
        <x:v>10</x:v>
      </x:c>
      <x:c r="P50" s="17" t="s">
        <x:v>37</x:v>
      </x:c>
      <x:c r="Q50" s="56"/>
      <x:c r="R50"/>
    </x:row>
    <x:row r="51" s="16" customFormat="1">
      <x:c r="A51"/>
      <x:c r="B51" s="18" t="s">
        <x:v>38</x:v>
      </x:c>
      <x:c r="C51" s="18" t="s">
        <x:v>39</x:v>
      </x:c>
      <x:c r="D51" s="19" t="str">
        <x:f t="shared" ref="D51:D65" si="4">$B$1</x:f>
        <x:v>SD 1.1 x5NU(E)T</x:v>
      </x:c>
      <x:c r="E51" s="20" t="s">
        <x:v>50</x:v>
      </x:c>
      <x:c r="F51" s="18">
        <x:v>60625</x:v>
      </x:c>
      <x:c r="G51" s="18">
        <x:v>51081</x:v>
      </x:c>
      <x:c r="H51" s="21">
        <x:v>0.42222222222222222</x:v>
      </x:c>
      <x:c r="I51" s="20">
        <x:v>3</x:v>
      </x:c>
      <x:c r="J51" s="20">
        <x:v>1</x:v>
      </x:c>
      <x:c r="K51" s="10">
        <x:v>0</x:v>
      </x:c>
      <x:c r="L51" s="10">
        <x:v>0</x:v>
      </x:c>
      <x:c r="M51" s="10">
        <x:v>0</x:v>
      </x:c>
      <x:c r="N51" s="10" t="n">
        <x:f>L51+M51</x:f>
        <x:v>0</x:v>
      </x:c>
      <x:c r="O51" s="10">
        <x:v>0</x:v>
      </x:c>
      <x:c r="P51" s="10">
        <x:v>0</x:v>
      </x:c>
      <x:c r="Q51" s="20" t="s">
        <x:v>44</x:v>
      </x:c>
      <x:c r="R51"/>
    </x:row>
    <x:row r="52" s="16" customFormat="1">
      <x:c r="A52"/>
      <x:c r="B52" s="18"/>
      <x:c r="C52" s="18" t="s">
        <x:v>39</x:v>
      </x:c>
      <x:c r="D52" s="19" t="str">
        <x:f t="shared" si="4"/>
        <x:v>SD 1.1 x5NU(E)T</x:v>
      </x:c>
      <x:c r="E52" s="20" t="s">
        <x:v>50</x:v>
      </x:c>
      <x:c r="F52" s="18">
        <x:v>60625</x:v>
      </x:c>
      <x:c r="G52" s="18">
        <x:v>51081</x:v>
      </x:c>
      <x:c r="H52" s="21">
        <x:v>0.42222222222222222</x:v>
      </x:c>
      <x:c r="I52" s="20">
        <x:v>3</x:v>
      </x:c>
      <x:c r="J52" s="20">
        <x:v>2</x:v>
      </x:c>
      <x:c r="K52" s="10">
        <x:v>0</x:v>
      </x:c>
      <x:c r="L52" s="10">
        <x:v>0</x:v>
      </x:c>
      <x:c r="M52" s="10">
        <x:v>0</x:v>
      </x:c>
      <x:c r="N52" s="10" t="n">
        <x:f>L52+M52</x:f>
        <x:v>0</x:v>
      </x:c>
      <x:c r="O52" s="10">
        <x:v>0</x:v>
      </x:c>
      <x:c r="P52" s="10">
        <x:v>0</x:v>
      </x:c>
      <x:c r="Q52" s="20" t="s">
        <x:v>44</x:v>
      </x:c>
      <x:c r="R52"/>
    </x:row>
    <x:row r="53" s="16" customFormat="1">
      <x:c r="A53"/>
      <x:c r="B53" s="18"/>
      <x:c r="C53" s="18" t="s">
        <x:v>39</x:v>
      </x:c>
      <x:c r="D53" s="19" t="str">
        <x:f t="shared" si="4"/>
        <x:v>SD 1.1 x5NU(E)T</x:v>
      </x:c>
      <x:c r="E53" s="20" t="s">
        <x:v>50</x:v>
      </x:c>
      <x:c r="F53" s="18">
        <x:v>60625</x:v>
      </x:c>
      <x:c r="G53" s="18">
        <x:v>51081</x:v>
      </x:c>
      <x:c r="H53" s="21">
        <x:v>0.42222222222222222</x:v>
      </x:c>
      <x:c r="I53" s="20">
        <x:v>6</x:v>
      </x:c>
      <x:c r="J53" s="20">
        <x:v>3</x:v>
      </x:c>
      <x:c r="K53" s="10">
        <x:v>0</x:v>
      </x:c>
      <x:c r="L53" s="10">
        <x:v>0</x:v>
      </x:c>
      <x:c r="M53" s="10">
        <x:v>0</x:v>
      </x:c>
      <x:c r="N53" s="10" t="n">
        <x:f t="shared" ref="N53:N65" si="5">L53+M53</x:f>
        <x:v>0</x:v>
      </x:c>
      <x:c r="O53" s="10">
        <x:v>1</x:v>
      </x:c>
      <x:c r="P53" s="10">
        <x:v>0</x:v>
      </x:c>
      <x:c r="Q53" s="20" t="s">
        <x:v>44</x:v>
      </x:c>
      <x:c r="R53"/>
    </x:row>
    <x:row r="54" s="16" customFormat="1">
      <x:c r="A54"/>
      <x:c r="B54" s="20"/>
      <x:c r="C54" s="18" t="s">
        <x:v>39</x:v>
      </x:c>
      <x:c r="D54" s="19" t="str">
        <x:f t="shared" si="4"/>
        <x:v>SD 1.1 x5NU(E)T</x:v>
      </x:c>
      <x:c r="E54" s="20" t="s">
        <x:v>50</x:v>
      </x:c>
      <x:c r="F54" s="18">
        <x:v>60625</x:v>
      </x:c>
      <x:c r="G54" s="18">
        <x:v>51081</x:v>
      </x:c>
      <x:c r="H54" s="21">
        <x:v>0.42222222222222222</x:v>
      </x:c>
      <x:c r="I54" s="20">
        <x:v>3</x:v>
      </x:c>
      <x:c r="J54" s="20">
        <x:v>4</x:v>
      </x:c>
      <x:c r="K54" s="10">
        <x:v>0</x:v>
      </x:c>
      <x:c r="L54" s="10">
        <x:v>0</x:v>
      </x:c>
      <x:c r="M54" s="10">
        <x:v>0</x:v>
      </x:c>
      <x:c r="N54" s="10">
        <x:f t="shared" si="5"/>
        <x:v>0</x:v>
      </x:c>
      <x:c r="O54" s="10">
        <x:v>0</x:v>
      </x:c>
      <x:c r="P54" s="10">
        <x:v>0</x:v>
      </x:c>
      <x:c r="Q54" s="20" t="s">
        <x:v>44</x:v>
      </x:c>
      <x:c r="R54"/>
    </x:row>
    <x:row r="55" s="16" customFormat="1">
      <x:c r="A55"/>
      <x:c r="B55" s="20"/>
      <x:c r="C55" s="18" t="s">
        <x:v>39</x:v>
      </x:c>
      <x:c r="D55" s="19" t="str">
        <x:f t="shared" si="4"/>
        <x:v>SD 1.1 x5NU(E)T</x:v>
      </x:c>
      <x:c r="E55" s="20" t="s">
        <x:v>50</x:v>
      </x:c>
      <x:c r="F55" s="18">
        <x:v>60625</x:v>
      </x:c>
      <x:c r="G55" s="18">
        <x:v>51081</x:v>
      </x:c>
      <x:c r="H55" s="21">
        <x:v>0.42222222222222222</x:v>
      </x:c>
      <x:c r="I55" s="20">
        <x:v>6</x:v>
      </x:c>
      <x:c r="J55" s="20">
        <x:v>5</x:v>
      </x:c>
      <x:c r="K55" s="10">
        <x:v>0</x:v>
      </x:c>
      <x:c r="L55" s="10">
        <x:v>0</x:v>
      </x:c>
      <x:c r="M55" s="10">
        <x:v>0</x:v>
      </x:c>
      <x:c r="N55" s="10">
        <x:f t="shared" si="5"/>
        <x:v>0</x:v>
      </x:c>
      <x:c r="O55" s="10">
        <x:v>0</x:v>
      </x:c>
      <x:c r="P55" s="10">
        <x:v>0</x:v>
      </x:c>
      <x:c r="Q55" s="20" t="s">
        <x:v>44</x:v>
      </x:c>
      <x:c r="R55"/>
    </x:row>
    <x:row r="56" s="16" customFormat="1">
      <x:c r="A56"/>
      <x:c r="B56" s="20"/>
      <x:c r="C56" s="18" t="s">
        <x:v>39</x:v>
      </x:c>
      <x:c r="D56" s="19" t="str">
        <x:f t="shared" si="4"/>
        <x:v>SD 1.1 x5NU(E)T</x:v>
      </x:c>
      <x:c r="E56" s="20" t="s">
        <x:v>50</x:v>
      </x:c>
      <x:c r="F56" s="18">
        <x:v>60625</x:v>
      </x:c>
      <x:c r="G56" s="18">
        <x:v>51081</x:v>
      </x:c>
      <x:c r="H56" s="21">
        <x:v>0.42222222222222222</x:v>
      </x:c>
      <x:c r="I56" s="20">
        <x:v>6</x:v>
      </x:c>
      <x:c r="J56" s="20">
        <x:v>6</x:v>
      </x:c>
      <x:c r="K56" s="10">
        <x:v>0</x:v>
      </x:c>
      <x:c r="L56" s="10">
        <x:v>0</x:v>
      </x:c>
      <x:c r="M56" s="10">
        <x:v>0</x:v>
      </x:c>
      <x:c r="N56" s="10">
        <x:f t="shared" si="5"/>
        <x:v>0</x:v>
      </x:c>
      <x:c r="O56" s="10">
        <x:v>1</x:v>
      </x:c>
      <x:c r="P56" s="10">
        <x:v>0</x:v>
      </x:c>
      <x:c r="Q56" s="20" t="s">
        <x:v>44</x:v>
      </x:c>
      <x:c r="R56"/>
    </x:row>
    <x:row r="57" s="16" customFormat="1">
      <x:c r="A57"/>
      <x:c r="B57" s="18"/>
      <x:c r="C57" s="18" t="s">
        <x:v>39</x:v>
      </x:c>
      <x:c r="D57" s="19" t="str">
        <x:f t="shared" si="4"/>
        <x:v>SD 1.1 x5NU(E)T</x:v>
      </x:c>
      <x:c r="E57" s="20" t="s">
        <x:v>50</x:v>
      </x:c>
      <x:c r="F57" s="18">
        <x:v>60625</x:v>
      </x:c>
      <x:c r="G57" s="18">
        <x:v>51081</x:v>
      </x:c>
      <x:c r="H57" s="21">
        <x:v>0.42222222222222222</x:v>
      </x:c>
      <x:c r="I57" s="20">
        <x:v>3</x:v>
      </x:c>
      <x:c r="J57" s="20">
        <x:v>7</x:v>
      </x:c>
      <x:c r="K57" s="10">
        <x:v>0</x:v>
      </x:c>
      <x:c r="L57" s="10">
        <x:v>0</x:v>
      </x:c>
      <x:c r="M57" s="10">
        <x:v>0</x:v>
      </x:c>
      <x:c r="N57" s="10">
        <x:f t="shared" si="5"/>
        <x:v>0</x:v>
      </x:c>
      <x:c r="O57" s="10">
        <x:v>0</x:v>
      </x:c>
      <x:c r="P57" s="10">
        <x:v>0</x:v>
      </x:c>
      <x:c r="Q57" s="20" t="s">
        <x:v>44</x:v>
      </x:c>
      <x:c r="R57"/>
    </x:row>
    <x:row r="58" s="16" customFormat="1">
      <x:c r="A58"/>
      <x:c r="B58" s="18"/>
      <x:c r="C58" s="18" t="s">
        <x:v>39</x:v>
      </x:c>
      <x:c r="D58" s="19" t="str">
        <x:f t="shared" si="4"/>
        <x:v>SD 1.1 x5NU(E)T</x:v>
      </x:c>
      <x:c r="E58" s="20" t="s">
        <x:v>50</x:v>
      </x:c>
      <x:c r="F58" s="18">
        <x:v>60625</x:v>
      </x:c>
      <x:c r="G58" s="18">
        <x:v>51081</x:v>
      </x:c>
      <x:c r="H58" s="21">
        <x:v>0.42222222222222222</x:v>
      </x:c>
      <x:c r="I58" s="20">
        <x:v>6</x:v>
      </x:c>
      <x:c r="J58" s="20">
        <x:v>8</x:v>
      </x:c>
      <x:c r="K58" s="10">
        <x:v>0</x:v>
      </x:c>
      <x:c r="L58" s="10">
        <x:v>0</x:v>
      </x:c>
      <x:c r="M58" s="10">
        <x:v>1</x:v>
      </x:c>
      <x:c r="N58" s="10">
        <x:f t="shared" si="5"/>
        <x:v>1</x:v>
      </x:c>
      <x:c r="O58" s="10">
        <x:v>0</x:v>
      </x:c>
      <x:c r="P58" s="10">
        <x:v>0</x:v>
      </x:c>
      <x:c r="Q58" s="20" t="s">
        <x:v>44</x:v>
      </x:c>
      <x:c r="R58"/>
    </x:row>
    <x:row r="59" s="16" customFormat="1">
      <x:c r="A59"/>
      <x:c r="B59" s="18"/>
      <x:c r="C59" s="18" t="s">
        <x:v>39</x:v>
      </x:c>
      <x:c r="D59" s="19" t="str">
        <x:f t="shared" si="4"/>
        <x:v>SD 1.1 x5NU(E)T</x:v>
      </x:c>
      <x:c r="E59" s="20" t="s">
        <x:v>50</x:v>
      </x:c>
      <x:c r="F59" s="18">
        <x:v>60625</x:v>
      </x:c>
      <x:c r="G59" s="18">
        <x:v>51081</x:v>
      </x:c>
      <x:c r="H59" s="21">
        <x:v>0.42222222222222222</x:v>
      </x:c>
      <x:c r="I59" s="20">
        <x:v>3</x:v>
      </x:c>
      <x:c r="J59" s="20">
        <x:v>9</x:v>
      </x:c>
      <x:c r="K59" s="10">
        <x:v>0</x:v>
      </x:c>
      <x:c r="L59" s="10">
        <x:v>0</x:v>
      </x:c>
      <x:c r="M59" s="10">
        <x:v>0</x:v>
      </x:c>
      <x:c r="N59" s="10">
        <x:f t="shared" si="5"/>
        <x:v>0</x:v>
      </x:c>
      <x:c r="O59" s="10">
        <x:v>0</x:v>
      </x:c>
      <x:c r="P59" s="10">
        <x:v>0</x:v>
      </x:c>
      <x:c r="Q59" s="20" t="s">
        <x:v>44</x:v>
      </x:c>
      <x:c r="R59"/>
    </x:row>
    <x:row r="60" s="16" customFormat="1">
      <x:c r="A60"/>
      <x:c r="B60" s="20"/>
      <x:c r="C60" s="18" t="s">
        <x:v>39</x:v>
      </x:c>
      <x:c r="D60" s="19" t="str">
        <x:f t="shared" si="4"/>
        <x:v>SD 1.1 x5NU(E)T</x:v>
      </x:c>
      <x:c r="E60" s="20" t="s">
        <x:v>50</x:v>
      </x:c>
      <x:c r="F60" s="18">
        <x:v>60625</x:v>
      </x:c>
      <x:c r="G60" s="18">
        <x:v>51081</x:v>
      </x:c>
      <x:c r="H60" s="21">
        <x:v>0.42222222222222222</x:v>
      </x:c>
      <x:c r="I60" s="20">
        <x:v>6</x:v>
      </x:c>
      <x:c r="J60" s="20">
        <x:v>10</x:v>
      </x:c>
      <x:c r="K60" s="10">
        <x:v>0</x:v>
      </x:c>
      <x:c r="L60" s="10">
        <x:v>0</x:v>
      </x:c>
      <x:c r="M60" s="10">
        <x:v>0</x:v>
      </x:c>
      <x:c r="N60" s="10">
        <x:f t="shared" si="5"/>
        <x:v>0</x:v>
      </x:c>
      <x:c r="O60" s="10">
        <x:v>1</x:v>
      </x:c>
      <x:c r="P60" s="10">
        <x:v>0</x:v>
      </x:c>
      <x:c r="Q60" s="20" t="s">
        <x:v>44</x:v>
      </x:c>
      <x:c r="R60"/>
    </x:row>
    <x:row r="61" s="16" customFormat="1">
      <x:c r="A61"/>
      <x:c r="B61" s="20"/>
      <x:c r="C61" s="18" t="s">
        <x:v>39</x:v>
      </x:c>
      <x:c r="D61" s="19" t="str">
        <x:f t="shared" si="4"/>
        <x:v>SD 1.1 x5NU(E)T</x:v>
      </x:c>
      <x:c r="E61" s="20" t="s">
        <x:v>50</x:v>
      </x:c>
      <x:c r="F61" s="18">
        <x:v>60625</x:v>
      </x:c>
      <x:c r="G61" s="18">
        <x:v>51081</x:v>
      </x:c>
      <x:c r="H61" s="21">
        <x:v>0.42222222222222222</x:v>
      </x:c>
      <x:c r="I61" s="20">
        <x:v>3</x:v>
      </x:c>
      <x:c r="J61" s="20">
        <x:v>11</x:v>
      </x:c>
      <x:c r="K61" s="10">
        <x:v>0</x:v>
      </x:c>
      <x:c r="L61" s="10">
        <x:v>0</x:v>
      </x:c>
      <x:c r="M61" s="10">
        <x:v>0</x:v>
      </x:c>
      <x:c r="N61" s="10">
        <x:f t="shared" si="5"/>
        <x:v>0</x:v>
      </x:c>
      <x:c r="O61" s="10">
        <x:v>0</x:v>
      </x:c>
      <x:c r="P61" s="10">
        <x:v>0</x:v>
      </x:c>
      <x:c r="Q61" s="20" t="s">
        <x:v>44</x:v>
      </x:c>
      <x:c r="R61"/>
    </x:row>
    <x:row r="62" s="16" customFormat="1">
      <x:c r="A62"/>
      <x:c r="B62" s="20"/>
      <x:c r="C62" s="18" t="s">
        <x:v>39</x:v>
      </x:c>
      <x:c r="D62" s="19" t="str">
        <x:f t="shared" si="4"/>
        <x:v>SD 1.1 x5NU(E)T</x:v>
      </x:c>
      <x:c r="E62" s="20" t="s">
        <x:v>50</x:v>
      </x:c>
      <x:c r="F62" s="18">
        <x:v>60625</x:v>
      </x:c>
      <x:c r="G62" s="18">
        <x:v>51081</x:v>
      </x:c>
      <x:c r="H62" s="21">
        <x:v>0.42222222222222222</x:v>
      </x:c>
      <x:c r="I62" s="20">
        <x:v>6</x:v>
      </x:c>
      <x:c r="J62" s="20">
        <x:v>12</x:v>
      </x:c>
      <x:c r="K62" s="10">
        <x:v>0</x:v>
      </x:c>
      <x:c r="L62" s="10">
        <x:v>0</x:v>
      </x:c>
      <x:c r="M62" s="10">
        <x:v>0</x:v>
      </x:c>
      <x:c r="N62" s="10">
        <x:f t="shared" si="5"/>
        <x:v>0</x:v>
      </x:c>
      <x:c r="O62" s="10">
        <x:v>1</x:v>
      </x:c>
      <x:c r="P62" s="10">
        <x:v>0</x:v>
      </x:c>
      <x:c r="Q62" s="20" t="s">
        <x:v>44</x:v>
      </x:c>
      <x:c r="R62"/>
    </x:row>
    <x:row r="63" s="16" customFormat="1">
      <x:c r="A63"/>
      <x:c r="B63" s="20"/>
      <x:c r="C63" s="18" t="s">
        <x:v>39</x:v>
      </x:c>
      <x:c r="D63" s="19" t="str">
        <x:f t="shared" si="4"/>
        <x:v>SD 1.1 x5NU(E)T</x:v>
      </x:c>
      <x:c r="E63" s="20" t="s">
        <x:v>50</x:v>
      </x:c>
      <x:c r="F63" s="18">
        <x:v>60625</x:v>
      </x:c>
      <x:c r="G63" s="18">
        <x:v>51081</x:v>
      </x:c>
      <x:c r="H63" s="21">
        <x:v>0.42222222222222222</x:v>
      </x:c>
      <x:c r="I63" s="20">
        <x:v>3</x:v>
      </x:c>
      <x:c r="J63" s="20">
        <x:v>13</x:v>
      </x:c>
      <x:c r="K63" s="10">
        <x:v>0</x:v>
      </x:c>
      <x:c r="L63" s="10">
        <x:v>0</x:v>
      </x:c>
      <x:c r="M63" s="10">
        <x:v>0</x:v>
      </x:c>
      <x:c r="N63" s="10">
        <x:f t="shared" si="5"/>
        <x:v>0</x:v>
      </x:c>
      <x:c r="O63" s="10">
        <x:v>0</x:v>
      </x:c>
      <x:c r="P63" s="10">
        <x:v>0</x:v>
      </x:c>
      <x:c r="Q63" s="20" t="s">
        <x:v>44</x:v>
      </x:c>
      <x:c r="R63"/>
    </x:row>
    <x:row r="64" s="16" customFormat="1">
      <x:c r="A64"/>
      <x:c r="B64" s="20"/>
      <x:c r="C64" s="18" t="s">
        <x:v>39</x:v>
      </x:c>
      <x:c r="D64" s="19" t="str">
        <x:f t="shared" si="4"/>
        <x:v>SD 1.1 x5NU(E)T</x:v>
      </x:c>
      <x:c r="E64" s="20" t="s">
        <x:v>50</x:v>
      </x:c>
      <x:c r="F64" s="18">
        <x:v>60625</x:v>
      </x:c>
      <x:c r="G64" s="18">
        <x:v>51081</x:v>
      </x:c>
      <x:c r="H64" s="21">
        <x:v>0.42222222222222222</x:v>
      </x:c>
      <x:c r="I64" s="20">
        <x:v>6</x:v>
      </x:c>
      <x:c r="J64" s="20">
        <x:v>14</x:v>
      </x:c>
      <x:c r="K64" s="10">
        <x:v>0</x:v>
      </x:c>
      <x:c r="L64" s="10">
        <x:v>0</x:v>
      </x:c>
      <x:c r="M64" s="10">
        <x:v>0</x:v>
      </x:c>
      <x:c r="N64" s="10">
        <x:f t="shared" si="5"/>
        <x:v>0</x:v>
      </x:c>
      <x:c r="O64" s="10">
        <x:v>0</x:v>
      </x:c>
      <x:c r="P64" s="10">
        <x:v>0</x:v>
      </x:c>
      <x:c r="Q64" s="20" t="s">
        <x:v>44</x:v>
      </x:c>
      <x:c r="R64"/>
    </x:row>
    <x:row r="65" s="16" customFormat="1">
      <x:c r="A65"/>
      <x:c r="B65" s="20"/>
      <x:c r="C65" s="18" t="s">
        <x:v>39</x:v>
      </x:c>
      <x:c r="D65" s="19" t="str">
        <x:f t="shared" si="4"/>
        <x:v>SD 1.1 x5NU(E)T</x:v>
      </x:c>
      <x:c r="E65" s="20" t="s">
        <x:v>50</x:v>
      </x:c>
      <x:c r="F65" s="18">
        <x:v>60625</x:v>
      </x:c>
      <x:c r="G65" s="18">
        <x:v>51081</x:v>
      </x:c>
      <x:c r="H65" s="21">
        <x:v>0.42222222222222222</x:v>
      </x:c>
      <x:c r="I65" s="20">
        <x:v>3</x:v>
      </x:c>
      <x:c r="J65" s="20">
        <x:v>15</x:v>
      </x:c>
      <x:c r="K65" s="10">
        <x:v>0</x:v>
      </x:c>
      <x:c r="L65" s="10">
        <x:v>0</x:v>
      </x:c>
      <x:c r="M65" s="10">
        <x:v>0</x:v>
      </x:c>
      <x:c r="N65" s="10">
        <x:f t="shared" si="5"/>
        <x:v>0</x:v>
      </x:c>
      <x:c r="O65" s="10">
        <x:v>0</x:v>
      </x:c>
      <x:c r="P65" s="10">
        <x:v>0</x:v>
      </x:c>
      <x:c r="Q65" s="20" t="s">
        <x:v>44</x:v>
      </x:c>
      <x:c r="R65"/>
    </x:row>
    <x:row r="66" s="16" customFormat="1">
      <x:c r="A66"/>
      <x:c r="F66" s="22"/>
      <x:c r="H66" s="23"/>
      <x:c r="I66" s="23"/>
      <x:c r="J66" s="23"/>
      <x:c r="K66" s="24"/>
      <x:c r="L66" s="24"/>
      <x:c r="M66" s="24"/>
      <x:c r="N66" s="24"/>
      <x:c r="O66" s="24"/>
      <x:c r="P66" s="24"/>
      <x:c r="R66"/>
    </x:row>
    <x:row r="67" s="16" customFormat="1">
      <x:c r="A67"/>
      <x:c r="F67" s="22"/>
      <x:c r="H67" s="23"/>
      <x:c r="I67" s="23"/>
      <x:c r="J67" s="23"/>
      <x:c r="K67" s="24"/>
      <x:c r="L67" s="24"/>
      <x:c r="M67" s="24"/>
      <x:c r="N67" s="24"/>
      <x:c r="O67" s="24"/>
      <x:c r="P67" s="24"/>
      <x:c r="R67"/>
    </x:row>
    <x:row r="68" s="16" customFormat="1">
      <x:c r="A68"/>
      <x:c r="B68" s="57" t="s">
        <x:v>20</x:v>
      </x:c>
      <x:c r="C68" s="57" t="s">
        <x:v>21</x:v>
      </x:c>
      <x:c r="D68" s="56" t="s">
        <x:v>22</x:v>
      </x:c>
      <x:c r="E68" s="9" t="s">
        <x:v>23</x:v>
      </x:c>
      <x:c r="F68" s="14" t="s">
        <x:v>24</x:v>
      </x:c>
      <x:c r="G68" s="9" t="s">
        <x:v>24</x:v>
      </x:c>
      <x:c r="H68" s="58" t="s">
        <x:v>25</x:v>
      </x:c>
      <x:c r="I68" s="15"/>
      <x:c r="J68" s="15"/>
      <x:c r="K68" s="59" t="s">
        <x:v>26</x:v>
      </x:c>
      <x:c r="L68" s="59"/>
      <x:c r="M68" s="59"/>
      <x:c r="N68" s="59"/>
      <x:c r="O68" s="59"/>
      <x:c r="P68" s="59"/>
      <x:c r="Q68" s="56" t="s">
        <x:v>27</x:v>
      </x:c>
      <x:c r="R68"/>
    </x:row>
    <x:row r="69" s="16" customFormat="1" ht="28.799999237060547">
      <x:c r="A69"/>
      <x:c r="B69" s="56"/>
      <x:c r="C69" s="56"/>
      <x:c r="D69" s="56"/>
      <x:c r="E69" s="7" t="s">
        <x:v>28</x:v>
      </x:c>
      <x:c r="F69" s="8" t="s">
        <x:v>29</x:v>
      </x:c>
      <x:c r="G69" s="8" t="s">
        <x:v>30</x:v>
      </x:c>
      <x:c r="H69" s="58"/>
      <x:c r="I69" s="15" t="s">
        <x:v>31</x:v>
      </x:c>
      <x:c r="J69" s="15" t="s">
        <x:v>32</x:v>
      </x:c>
      <x:c r="K69" s="17" t="s">
        <x:v>33</x:v>
      </x:c>
      <x:c r="L69" s="17" t="s">
        <x:v>34</x:v>
      </x:c>
      <x:c r="M69" s="17" t="s">
        <x:v>35</x:v>
      </x:c>
      <x:c r="N69" s="17" t="s">
        <x:v>36</x:v>
      </x:c>
      <x:c r="O69" s="17" t="s">
        <x:v>10</x:v>
      </x:c>
      <x:c r="P69" s="17" t="s">
        <x:v>37</x:v>
      </x:c>
      <x:c r="Q69" s="56"/>
      <x:c r="R69"/>
    </x:row>
    <x:row r="70" s="16" customFormat="1">
      <x:c r="A70"/>
      <x:c r="B70" s="18" t="s">
        <x:v>38</x:v>
      </x:c>
      <x:c r="C70" s="18" t="s">
        <x:v>39</x:v>
      </x:c>
      <x:c r="D70" s="19" t="str">
        <x:f t="shared" ref="D70:D84" si="6">$B$1</x:f>
        <x:v>SD 1.1 x5NU(E)T</x:v>
      </x:c>
      <x:c r="E70" s="20" t="s">
        <x:v>50</x:v>
      </x:c>
      <x:c r="F70" s="18">
        <x:v>60625</x:v>
      </x:c>
      <x:c r="G70" s="18">
        <x:v>51081</x:v>
      </x:c>
      <x:c r="H70" s="21">
        <x:v>0.42222222222222222</x:v>
      </x:c>
      <x:c r="I70" s="20">
        <x:v>3</x:v>
      </x:c>
      <x:c r="J70" s="20">
        <x:v>1</x:v>
      </x:c>
      <x:c r="K70" s="10">
        <x:v>0</x:v>
      </x:c>
      <x:c r="L70" s="10">
        <x:v>0</x:v>
      </x:c>
      <x:c r="M70" s="10">
        <x:v>2</x:v>
      </x:c>
      <x:c r="N70" s="10" t="n">
        <x:f>L70+M70</x:f>
        <x:v>2</x:v>
      </x:c>
      <x:c r="O70" s="10">
        <x:v>0</x:v>
      </x:c>
      <x:c r="P70" s="10">
        <x:v>0</x:v>
      </x:c>
      <x:c r="Q70" s="20" t="s">
        <x:v>45</x:v>
      </x:c>
      <x:c r="R70"/>
    </x:row>
    <x:row r="71" s="16" customFormat="1">
      <x:c r="A71"/>
      <x:c r="B71" s="18"/>
      <x:c r="C71" s="18" t="s">
        <x:v>39</x:v>
      </x:c>
      <x:c r="D71" s="19" t="str">
        <x:f t="shared" si="6"/>
        <x:v>SD 1.1 x5NU(E)T</x:v>
      </x:c>
      <x:c r="E71" s="20" t="s">
        <x:v>50</x:v>
      </x:c>
      <x:c r="F71" s="18">
        <x:v>60625</x:v>
      </x:c>
      <x:c r="G71" s="18">
        <x:v>51081</x:v>
      </x:c>
      <x:c r="H71" s="21">
        <x:v>0.42222222222222222</x:v>
      </x:c>
      <x:c r="I71" s="20">
        <x:v>6</x:v>
      </x:c>
      <x:c r="J71" s="20">
        <x:v>2</x:v>
      </x:c>
      <x:c r="K71" s="10">
        <x:v>0</x:v>
      </x:c>
      <x:c r="L71" s="10">
        <x:v>0</x:v>
      </x:c>
      <x:c r="M71" s="10">
        <x:v>1</x:v>
      </x:c>
      <x:c r="N71" s="10" t="n">
        <x:f>L71+M71</x:f>
        <x:v>1</x:v>
      </x:c>
      <x:c r="O71" s="10">
        <x:v>0</x:v>
      </x:c>
      <x:c r="P71" s="10">
        <x:v>0</x:v>
      </x:c>
      <x:c r="Q71" s="20" t="s">
        <x:v>45</x:v>
      </x:c>
      <x:c r="R71"/>
    </x:row>
    <x:row r="72" s="16" customFormat="1">
      <x:c r="A72"/>
      <x:c r="B72" s="18"/>
      <x:c r="C72" s="18" t="s">
        <x:v>39</x:v>
      </x:c>
      <x:c r="D72" s="19" t="str">
        <x:f t="shared" si="6"/>
        <x:v>SD 1.1 x5NU(E)T</x:v>
      </x:c>
      <x:c r="E72" s="20" t="s">
        <x:v>50</x:v>
      </x:c>
      <x:c r="F72" s="18">
        <x:v>60625</x:v>
      </x:c>
      <x:c r="G72" s="18">
        <x:v>51081</x:v>
      </x:c>
      <x:c r="H72" s="21">
        <x:v>0.42222222222222222</x:v>
      </x:c>
      <x:c r="I72" s="20">
        <x:v>3</x:v>
      </x:c>
      <x:c r="J72" s="20">
        <x:v>3</x:v>
      </x:c>
      <x:c r="K72" s="10">
        <x:v>0</x:v>
      </x:c>
      <x:c r="L72" s="10">
        <x:v>0</x:v>
      </x:c>
      <x:c r="M72" s="10">
        <x:v>5</x:v>
      </x:c>
      <x:c r="N72" s="10" t="n">
        <x:f t="shared" ref="N72:N84" si="7">L72+M72</x:f>
        <x:v>5</x:v>
      </x:c>
      <x:c r="O72" s="10">
        <x:v>0</x:v>
      </x:c>
      <x:c r="P72" s="10">
        <x:v>0</x:v>
      </x:c>
      <x:c r="Q72" s="20" t="s">
        <x:v>45</x:v>
      </x:c>
      <x:c r="R72"/>
    </x:row>
    <x:row r="73" s="16" customFormat="1">
      <x:c r="A73"/>
      <x:c r="B73" s="20"/>
      <x:c r="C73" s="18" t="s">
        <x:v>39</x:v>
      </x:c>
      <x:c r="D73" s="19" t="str">
        <x:f t="shared" si="6"/>
        <x:v>SD 1.1 x5NU(E)T</x:v>
      </x:c>
      <x:c r="E73" s="20" t="s">
        <x:v>50</x:v>
      </x:c>
      <x:c r="F73" s="18">
        <x:v>60625</x:v>
      </x:c>
      <x:c r="G73" s="18">
        <x:v>51081</x:v>
      </x:c>
      <x:c r="H73" s="21">
        <x:v>0.42222222222222222</x:v>
      </x:c>
      <x:c r="I73" s="20">
        <x:v>6</x:v>
      </x:c>
      <x:c r="J73" s="20">
        <x:v>4</x:v>
      </x:c>
      <x:c r="K73" s="10">
        <x:v>0</x:v>
      </x:c>
      <x:c r="L73" s="10">
        <x:v>0</x:v>
      </x:c>
      <x:c r="M73" s="10">
        <x:v>0</x:v>
      </x:c>
      <x:c r="N73" s="10">
        <x:f t="shared" si="7"/>
        <x:v>0</x:v>
      </x:c>
      <x:c r="O73" s="10">
        <x:v>0</x:v>
      </x:c>
      <x:c r="P73" s="10">
        <x:v>0</x:v>
      </x:c>
      <x:c r="Q73" s="20" t="s">
        <x:v>45</x:v>
      </x:c>
      <x:c r="R73"/>
    </x:row>
    <x:row r="74" s="16" customFormat="1">
      <x:c r="A74"/>
      <x:c r="B74" s="20"/>
      <x:c r="C74" s="18" t="s">
        <x:v>39</x:v>
      </x:c>
      <x:c r="D74" s="19" t="str">
        <x:f t="shared" si="6"/>
        <x:v>SD 1.1 x5NU(E)T</x:v>
      </x:c>
      <x:c r="E74" s="20" t="s">
        <x:v>50</x:v>
      </x:c>
      <x:c r="F74" s="18">
        <x:v>60625</x:v>
      </x:c>
      <x:c r="G74" s="18">
        <x:v>51081</x:v>
      </x:c>
      <x:c r="H74" s="21">
        <x:v>0.42222222222222222</x:v>
      </x:c>
      <x:c r="I74" s="20">
        <x:v>3</x:v>
      </x:c>
      <x:c r="J74" s="20">
        <x:v>5</x:v>
      </x:c>
      <x:c r="K74" s="10">
        <x:v>0</x:v>
      </x:c>
      <x:c r="L74" s="10">
        <x:v>0</x:v>
      </x:c>
      <x:c r="M74" s="10">
        <x:v>2</x:v>
      </x:c>
      <x:c r="N74" s="10">
        <x:f t="shared" si="7"/>
        <x:v>2</x:v>
      </x:c>
      <x:c r="O74" s="10">
        <x:v>0</x:v>
      </x:c>
      <x:c r="P74" s="10">
        <x:v>0</x:v>
      </x:c>
      <x:c r="Q74" s="20" t="s">
        <x:v>45</x:v>
      </x:c>
      <x:c r="R74"/>
    </x:row>
    <x:row r="75" s="16" customFormat="1">
      <x:c r="A75"/>
      <x:c r="B75" s="20"/>
      <x:c r="C75" s="18" t="s">
        <x:v>39</x:v>
      </x:c>
      <x:c r="D75" s="19" t="str">
        <x:f t="shared" si="6"/>
        <x:v>SD 1.1 x5NU(E)T</x:v>
      </x:c>
      <x:c r="E75" s="20" t="s">
        <x:v>50</x:v>
      </x:c>
      <x:c r="F75" s="18">
        <x:v>60625</x:v>
      </x:c>
      <x:c r="G75" s="18">
        <x:v>51081</x:v>
      </x:c>
      <x:c r="H75" s="21">
        <x:v>0.42222222222222222</x:v>
      </x:c>
      <x:c r="I75" s="20">
        <x:v>6</x:v>
      </x:c>
      <x:c r="J75" s="20">
        <x:v>6</x:v>
      </x:c>
      <x:c r="K75" s="10">
        <x:v>0</x:v>
      </x:c>
      <x:c r="L75" s="10">
        <x:v>0</x:v>
      </x:c>
      <x:c r="M75" s="10">
        <x:v>0</x:v>
      </x:c>
      <x:c r="N75" s="10">
        <x:f t="shared" si="7"/>
        <x:v>0</x:v>
      </x:c>
      <x:c r="O75" s="10">
        <x:v>0</x:v>
      </x:c>
      <x:c r="P75" s="10">
        <x:v>0</x:v>
      </x:c>
      <x:c r="Q75" s="20" t="s">
        <x:v>45</x:v>
      </x:c>
      <x:c r="R75"/>
    </x:row>
    <x:row r="76" s="16" customFormat="1">
      <x:c r="A76"/>
      <x:c r="B76" s="18"/>
      <x:c r="C76" s="18" t="s">
        <x:v>39</x:v>
      </x:c>
      <x:c r="D76" s="19" t="str">
        <x:f t="shared" si="6"/>
        <x:v>SD 1.1 x5NU(E)T</x:v>
      </x:c>
      <x:c r="E76" s="20" t="s">
        <x:v>50</x:v>
      </x:c>
      <x:c r="F76" s="18">
        <x:v>60625</x:v>
      </x:c>
      <x:c r="G76" s="18">
        <x:v>51081</x:v>
      </x:c>
      <x:c r="H76" s="21">
        <x:v>0.42222222222222222</x:v>
      </x:c>
      <x:c r="I76" s="20">
        <x:v>3</x:v>
      </x:c>
      <x:c r="J76" s="20">
        <x:v>7</x:v>
      </x:c>
      <x:c r="K76" s="10">
        <x:v>0</x:v>
      </x:c>
      <x:c r="L76" s="10">
        <x:v>0</x:v>
      </x:c>
      <x:c r="M76" s="10">
        <x:v>7</x:v>
      </x:c>
      <x:c r="N76" s="10">
        <x:f t="shared" si="7"/>
        <x:v>7</x:v>
      </x:c>
      <x:c r="O76" s="10">
        <x:v>0</x:v>
      </x:c>
      <x:c r="P76" s="10">
        <x:v>0</x:v>
      </x:c>
      <x:c r="Q76" s="20" t="s">
        <x:v>45</x:v>
      </x:c>
      <x:c r="R76"/>
    </x:row>
    <x:row r="77" s="16" customFormat="1">
      <x:c r="A77"/>
      <x:c r="B77" s="18"/>
      <x:c r="C77" s="18" t="s">
        <x:v>39</x:v>
      </x:c>
      <x:c r="D77" s="19" t="str">
        <x:f t="shared" si="6"/>
        <x:v>SD 1.1 x5NU(E)T</x:v>
      </x:c>
      <x:c r="E77" s="20" t="s">
        <x:v>50</x:v>
      </x:c>
      <x:c r="F77" s="18">
        <x:v>60625</x:v>
      </x:c>
      <x:c r="G77" s="18">
        <x:v>51081</x:v>
      </x:c>
      <x:c r="H77" s="21">
        <x:v>0.42222222222222222</x:v>
      </x:c>
      <x:c r="I77" s="20">
        <x:v>6</x:v>
      </x:c>
      <x:c r="J77" s="20">
        <x:v>8</x:v>
      </x:c>
      <x:c r="K77" s="10">
        <x:v>0</x:v>
      </x:c>
      <x:c r="L77" s="10">
        <x:v>0</x:v>
      </x:c>
      <x:c r="M77" s="10">
        <x:v>5</x:v>
      </x:c>
      <x:c r="N77" s="10">
        <x:f t="shared" si="7"/>
        <x:v>5</x:v>
      </x:c>
      <x:c r="O77" s="10">
        <x:v>0</x:v>
      </x:c>
      <x:c r="P77" s="10">
        <x:v>0</x:v>
      </x:c>
      <x:c r="Q77" s="20" t="s">
        <x:v>45</x:v>
      </x:c>
      <x:c r="R77"/>
    </x:row>
    <x:row r="78" s="16" customFormat="1">
      <x:c r="A78"/>
      <x:c r="B78" s="18"/>
      <x:c r="C78" s="18" t="s">
        <x:v>39</x:v>
      </x:c>
      <x:c r="D78" s="19" t="str">
        <x:f t="shared" si="6"/>
        <x:v>SD 1.1 x5NU(E)T</x:v>
      </x:c>
      <x:c r="E78" s="20" t="s">
        <x:v>50</x:v>
      </x:c>
      <x:c r="F78" s="18">
        <x:v>60625</x:v>
      </x:c>
      <x:c r="G78" s="18">
        <x:v>51081</x:v>
      </x:c>
      <x:c r="H78" s="21">
        <x:v>0.42222222222222222</x:v>
      </x:c>
      <x:c r="I78" s="20">
        <x:v>3</x:v>
      </x:c>
      <x:c r="J78" s="20">
        <x:v>9</x:v>
      </x:c>
      <x:c r="K78" s="10">
        <x:v>0</x:v>
      </x:c>
      <x:c r="L78" s="10">
        <x:v>0</x:v>
      </x:c>
      <x:c r="M78" s="10">
        <x:v>0</x:v>
      </x:c>
      <x:c r="N78" s="10">
        <x:f t="shared" si="7"/>
        <x:v>0</x:v>
      </x:c>
      <x:c r="O78" s="10">
        <x:v>0</x:v>
      </x:c>
      <x:c r="P78" s="10">
        <x:v>0</x:v>
      </x:c>
      <x:c r="Q78" s="20" t="s">
        <x:v>45</x:v>
      </x:c>
      <x:c r="R78"/>
    </x:row>
    <x:row r="79" s="16" customFormat="1">
      <x:c r="A79"/>
      <x:c r="B79" s="20"/>
      <x:c r="C79" s="18" t="s">
        <x:v>39</x:v>
      </x:c>
      <x:c r="D79" s="19" t="str">
        <x:f t="shared" si="6"/>
        <x:v>SD 1.1 x5NU(E)T</x:v>
      </x:c>
      <x:c r="E79" s="20" t="s">
        <x:v>50</x:v>
      </x:c>
      <x:c r="F79" s="18">
        <x:v>60625</x:v>
      </x:c>
      <x:c r="G79" s="18">
        <x:v>51081</x:v>
      </x:c>
      <x:c r="H79" s="21">
        <x:v>0.42222222222222222</x:v>
      </x:c>
      <x:c r="I79" s="20">
        <x:v>6</x:v>
      </x:c>
      <x:c r="J79" s="20">
        <x:v>10</x:v>
      </x:c>
      <x:c r="K79" s="10">
        <x:v>0</x:v>
      </x:c>
      <x:c r="L79" s="10">
        <x:v>0</x:v>
      </x:c>
      <x:c r="M79" s="10">
        <x:v>0</x:v>
      </x:c>
      <x:c r="N79" s="10">
        <x:f t="shared" si="7"/>
        <x:v>0</x:v>
      </x:c>
      <x:c r="O79" s="10">
        <x:v>0</x:v>
      </x:c>
      <x:c r="P79" s="10">
        <x:v>0</x:v>
      </x:c>
      <x:c r="Q79" s="20" t="s">
        <x:v>45</x:v>
      </x:c>
      <x:c r="R79"/>
    </x:row>
    <x:row r="80" s="16" customFormat="1">
      <x:c r="A80"/>
      <x:c r="B80" s="20"/>
      <x:c r="C80" s="18" t="s">
        <x:v>39</x:v>
      </x:c>
      <x:c r="D80" s="19" t="str">
        <x:f t="shared" si="6"/>
        <x:v>SD 1.1 x5NU(E)T</x:v>
      </x:c>
      <x:c r="E80" s="20" t="s">
        <x:v>50</x:v>
      </x:c>
      <x:c r="F80" s="18">
        <x:v>60625</x:v>
      </x:c>
      <x:c r="G80" s="18">
        <x:v>51081</x:v>
      </x:c>
      <x:c r="H80" s="21">
        <x:v>0.42222222222222222</x:v>
      </x:c>
      <x:c r="I80" s="20">
        <x:v>3</x:v>
      </x:c>
      <x:c r="J80" s="20">
        <x:v>11</x:v>
      </x:c>
      <x:c r="K80" s="10">
        <x:v>0</x:v>
      </x:c>
      <x:c r="L80" s="10">
        <x:v>0</x:v>
      </x:c>
      <x:c r="M80" s="10">
        <x:v>0</x:v>
      </x:c>
      <x:c r="N80" s="10">
        <x:f t="shared" si="7"/>
        <x:v>0</x:v>
      </x:c>
      <x:c r="O80" s="10">
        <x:v>0</x:v>
      </x:c>
      <x:c r="P80" s="10">
        <x:v>0</x:v>
      </x:c>
      <x:c r="Q80" s="20" t="s">
        <x:v>45</x:v>
      </x:c>
      <x:c r="R80"/>
    </x:row>
    <x:row r="81" s="16" customFormat="1">
      <x:c r="A81"/>
      <x:c r="B81" s="20"/>
      <x:c r="C81" s="18" t="s">
        <x:v>39</x:v>
      </x:c>
      <x:c r="D81" s="19" t="str">
        <x:f t="shared" si="6"/>
        <x:v>SD 1.1 x5NU(E)T</x:v>
      </x:c>
      <x:c r="E81" s="20" t="s">
        <x:v>50</x:v>
      </x:c>
      <x:c r="F81" s="18">
        <x:v>60625</x:v>
      </x:c>
      <x:c r="G81" s="18">
        <x:v>51081</x:v>
      </x:c>
      <x:c r="H81" s="21">
        <x:v>0.42222222222222222</x:v>
      </x:c>
      <x:c r="I81" s="20">
        <x:v>6</x:v>
      </x:c>
      <x:c r="J81" s="20">
        <x:v>12</x:v>
      </x:c>
      <x:c r="K81" s="10">
        <x:v>0</x:v>
      </x:c>
      <x:c r="L81" s="10">
        <x:v>0</x:v>
      </x:c>
      <x:c r="M81" s="10">
        <x:v>0</x:v>
      </x:c>
      <x:c r="N81" s="10">
        <x:f t="shared" si="7"/>
        <x:v>0</x:v>
      </x:c>
      <x:c r="O81" s="10">
        <x:v>0</x:v>
      </x:c>
      <x:c r="P81" s="10">
        <x:v>0</x:v>
      </x:c>
      <x:c r="Q81" s="20" t="s">
        <x:v>45</x:v>
      </x:c>
      <x:c r="R81"/>
    </x:row>
    <x:row r="82" s="16" customFormat="1">
      <x:c r="A82"/>
      <x:c r="B82" s="20"/>
      <x:c r="C82" s="18" t="s">
        <x:v>39</x:v>
      </x:c>
      <x:c r="D82" s="19" t="str">
        <x:f t="shared" si="6"/>
        <x:v>SD 1.1 x5NU(E)T</x:v>
      </x:c>
      <x:c r="E82" s="20" t="s">
        <x:v>50</x:v>
      </x:c>
      <x:c r="F82" s="18">
        <x:v>60625</x:v>
      </x:c>
      <x:c r="G82" s="18">
        <x:v>51081</x:v>
      </x:c>
      <x:c r="H82" s="21">
        <x:v>0.42222222222222222</x:v>
      </x:c>
      <x:c r="I82" s="20">
        <x:v>3</x:v>
      </x:c>
      <x:c r="J82" s="20">
        <x:v>13</x:v>
      </x:c>
      <x:c r="K82" s="10">
        <x:v>0</x:v>
      </x:c>
      <x:c r="L82" s="10">
        <x:v>0</x:v>
      </x:c>
      <x:c r="M82" s="10">
        <x:v>0</x:v>
      </x:c>
      <x:c r="N82" s="10">
        <x:f t="shared" si="7"/>
        <x:v>0</x:v>
      </x:c>
      <x:c r="O82" s="10">
        <x:v>0</x:v>
      </x:c>
      <x:c r="P82" s="10">
        <x:v>0</x:v>
      </x:c>
      <x:c r="Q82" s="20" t="s">
        <x:v>45</x:v>
      </x:c>
      <x:c r="R82"/>
    </x:row>
    <x:row r="83" s="16" customFormat="1">
      <x:c r="A83"/>
      <x:c r="B83" s="20"/>
      <x:c r="C83" s="18" t="s">
        <x:v>39</x:v>
      </x:c>
      <x:c r="D83" s="19" t="str">
        <x:f t="shared" si="6"/>
        <x:v>SD 1.1 x5NU(E)T</x:v>
      </x:c>
      <x:c r="E83" s="20" t="s">
        <x:v>50</x:v>
      </x:c>
      <x:c r="F83" s="18">
        <x:v>60625</x:v>
      </x:c>
      <x:c r="G83" s="18">
        <x:v>51081</x:v>
      </x:c>
      <x:c r="H83" s="21">
        <x:v>0.42222222222222222</x:v>
      </x:c>
      <x:c r="I83" s="20">
        <x:v>6</x:v>
      </x:c>
      <x:c r="J83" s="20">
        <x:v>14</x:v>
      </x:c>
      <x:c r="K83" s="10">
        <x:v>0</x:v>
      </x:c>
      <x:c r="L83" s="10">
        <x:v>0</x:v>
      </x:c>
      <x:c r="M83" s="10">
        <x:v>0</x:v>
      </x:c>
      <x:c r="N83" s="10">
        <x:f t="shared" si="7"/>
        <x:v>0</x:v>
      </x:c>
      <x:c r="O83" s="10">
        <x:v>0</x:v>
      </x:c>
      <x:c r="P83" s="10">
        <x:v>0</x:v>
      </x:c>
      <x:c r="Q83" s="20" t="s">
        <x:v>45</x:v>
      </x:c>
      <x:c r="R83"/>
    </x:row>
    <x:row r="84" s="16" customFormat="1">
      <x:c r="A84"/>
      <x:c r="B84" s="20"/>
      <x:c r="C84" s="18" t="s">
        <x:v>39</x:v>
      </x:c>
      <x:c r="D84" s="19" t="str">
        <x:f t="shared" si="6"/>
        <x:v>SD 1.1 x5NU(E)T</x:v>
      </x:c>
      <x:c r="E84" s="20" t="s">
        <x:v>50</x:v>
      </x:c>
      <x:c r="F84" s="18">
        <x:v>60625</x:v>
      </x:c>
      <x:c r="G84" s="18">
        <x:v>51081</x:v>
      </x:c>
      <x:c r="H84" s="21">
        <x:v>0.42222222222222222</x:v>
      </x:c>
      <x:c r="I84" s="20">
        <x:v>3</x:v>
      </x:c>
      <x:c r="J84" s="20">
        <x:v>15</x:v>
      </x:c>
      <x:c r="K84" s="10">
        <x:v>0</x:v>
      </x:c>
      <x:c r="L84" s="10">
        <x:v>0</x:v>
      </x:c>
      <x:c r="M84" s="10">
        <x:v>0</x:v>
      </x:c>
      <x:c r="N84" s="10">
        <x:f t="shared" si="7"/>
        <x:v>0</x:v>
      </x:c>
      <x:c r="O84" s="10">
        <x:v>0</x:v>
      </x:c>
      <x:c r="P84" s="10">
        <x:v>0</x:v>
      </x:c>
      <x:c r="Q84" s="20" t="s">
        <x:v>45</x:v>
      </x:c>
      <x:c r="R84"/>
    </x:row>
    <x:row r="85" s="16" customFormat="1">
      <x:c r="A85"/>
      <x:c r="F85" s="22"/>
      <x:c r="H85" s="23"/>
      <x:c r="J85" s="23"/>
      <x:c r="K85" s="24"/>
      <x:c r="L85" s="24"/>
      <x:c r="M85" s="24"/>
      <x:c r="N85" s="24"/>
      <x:c r="O85" s="24"/>
      <x:c r="P85" s="24"/>
      <x:c r="R85"/>
    </x:row>
    <x:row r="86" s="16" customFormat="1">
      <x:c r="A86"/>
      <x:c r="F86" s="22"/>
      <x:c r="H86" s="23"/>
      <x:c r="I86" s="23"/>
      <x:c r="J86" s="23"/>
      <x:c r="K86" s="24"/>
      <x:c r="L86" s="24"/>
      <x:c r="M86" s="24"/>
      <x:c r="N86" s="24"/>
      <x:c r="O86" s="24"/>
      <x:c r="P86" s="24"/>
      <x:c r="R86"/>
    </x:row>
    <x:row r="87" s="16" customFormat="1">
      <x:c r="A87"/>
      <x:c r="F87" s="22"/>
      <x:c r="H87" s="23"/>
      <x:c r="I87" s="23"/>
      <x:c r="J87" s="23"/>
      <x:c r="K87" s="24"/>
      <x:c r="L87" s="24"/>
      <x:c r="M87" s="24"/>
      <x:c r="N87" s="24"/>
      <x:c r="O87" s="24"/>
      <x:c r="P87" s="24"/>
      <x:c r="R87"/>
    </x:row>
    <x:row r="88" s="16" customFormat="1">
      <x:c r="A88"/>
      <x:c r="F88" s="22"/>
      <x:c r="H88" s="23"/>
      <x:c r="I88" s="23"/>
      <x:c r="J88" s="23"/>
      <x:c r="K88" s="24"/>
      <x:c r="L88" s="24"/>
      <x:c r="M88" s="24"/>
      <x:c r="N88" s="24"/>
      <x:c r="O88" s="24"/>
      <x:c r="P88" s="24"/>
      <x:c r="R88"/>
    </x:row>
    <x:row r="89" s="16" customFormat="1">
      <x:c r="A89"/>
      <x:c r="F89" s="22"/>
      <x:c r="H89" s="23"/>
      <x:c r="I89" s="23"/>
      <x:c r="J89" s="23"/>
      <x:c r="K89" s="24"/>
      <x:c r="L89" s="24"/>
      <x:c r="M89" s="24"/>
      <x:c r="N89" s="24"/>
      <x:c r="O89" s="24"/>
      <x:c r="P89" s="24"/>
      <x:c r="R89"/>
    </x:row>
    <x:row r="90" s="16" customFormat="1">
      <x:c r="A90"/>
      <x:c r="F90" s="22"/>
      <x:c r="H90" s="23"/>
      <x:c r="I90" s="23"/>
      <x:c r="J90" s="23"/>
      <x:c r="K90" s="24"/>
      <x:c r="L90" s="24"/>
      <x:c r="M90" s="24"/>
      <x:c r="N90" s="24"/>
      <x:c r="O90" s="24"/>
      <x:c r="P90" s="24"/>
      <x:c r="R90"/>
    </x:row>
    <x:row r="91" s="16" customFormat="1">
      <x:c r="A91"/>
      <x:c r="F91" s="22"/>
      <x:c r="H91" s="23"/>
      <x:c r="I91" s="23"/>
      <x:c r="J91" s="23"/>
      <x:c r="K91" s="24"/>
      <x:c r="L91" s="24"/>
      <x:c r="M91" s="24"/>
      <x:c r="N91" s="24"/>
      <x:c r="O91" s="24"/>
      <x:c r="P91" s="24"/>
      <x:c r="R91"/>
    </x:row>
    <x:row r="92" s="16" customFormat="1">
      <x:c r="A92"/>
      <x:c r="F92" s="22"/>
      <x:c r="H92" s="23"/>
      <x:c r="I92" s="23"/>
      <x:c r="J92" s="23"/>
      <x:c r="K92" s="24"/>
      <x:c r="L92" s="24"/>
      <x:c r="M92" s="24"/>
      <x:c r="N92" s="24"/>
      <x:c r="O92" s="24"/>
      <x:c r="P92" s="24"/>
      <x:c r="R92"/>
    </x:row>
    <x:row r="93" s="16" customFormat="1">
      <x:c r="A93"/>
      <x:c r="F93" s="22"/>
      <x:c r="H93" s="23"/>
      <x:c r="I93" s="23"/>
      <x:c r="J93" s="23"/>
      <x:c r="K93" s="24"/>
      <x:c r="L93" s="24"/>
      <x:c r="M93" s="24"/>
      <x:c r="N93" s="24"/>
      <x:c r="O93" s="24"/>
      <x:c r="P93" s="24"/>
      <x:c r="R93"/>
    </x:row>
    <x:row r="94" s="16" customFormat="1">
      <x:c r="A94"/>
      <x:c r="F94" s="22"/>
      <x:c r="H94" s="23"/>
      <x:c r="I94" s="23"/>
      <x:c r="J94" s="23"/>
      <x:c r="K94" s="24"/>
      <x:c r="L94" s="24"/>
      <x:c r="M94" s="24"/>
      <x:c r="N94" s="24"/>
      <x:c r="O94" s="24"/>
      <x:c r="P94" s="24"/>
      <x:c r="R94"/>
    </x:row>
    <x:row r="95" s="16" customFormat="1">
      <x:c r="A95"/>
      <x:c r="F95" s="22"/>
      <x:c r="H95" s="23"/>
      <x:c r="I95" s="23"/>
      <x:c r="J95" s="23"/>
      <x:c r="K95" s="24"/>
      <x:c r="L95" s="24"/>
      <x:c r="M95" s="24"/>
      <x:c r="N95" s="24"/>
      <x:c r="O95" s="24"/>
      <x:c r="P95" s="24"/>
      <x:c r="R95"/>
    </x:row>
    <x:row r="96" s="16" customFormat="1">
      <x:c r="A96"/>
      <x:c r="F96" s="22"/>
      <x:c r="H96" s="23"/>
      <x:c r="I96" s="23"/>
      <x:c r="J96" s="23"/>
      <x:c r="K96" s="24"/>
      <x:c r="L96" s="24"/>
      <x:c r="M96" s="24"/>
      <x:c r="N96" s="24"/>
      <x:c r="O96" s="24"/>
      <x:c r="P96" s="24"/>
      <x:c r="R96"/>
    </x:row>
    <x:row r="97" s="16" customFormat="1">
      <x:c r="A97"/>
      <x:c r="F97" s="22"/>
      <x:c r="H97" s="23"/>
      <x:c r="I97" s="23"/>
      <x:c r="J97" s="23"/>
      <x:c r="K97" s="24"/>
      <x:c r="L97" s="24"/>
      <x:c r="M97" s="24"/>
      <x:c r="N97" s="24"/>
      <x:c r="O97" s="24"/>
      <x:c r="P97" s="24"/>
      <x:c r="R97"/>
    </x:row>
    <x:row r="98" s="16" customFormat="1">
      <x:c r="A98"/>
      <x:c r="F98" s="22"/>
      <x:c r="H98" s="23"/>
      <x:c r="I98" s="23"/>
      <x:c r="J98" s="23"/>
      <x:c r="K98" s="24"/>
      <x:c r="L98" s="24"/>
      <x:c r="M98" s="24"/>
      <x:c r="N98" s="24"/>
      <x:c r="O98" s="24"/>
      <x:c r="P98" s="24"/>
      <x:c r="R98"/>
    </x:row>
    <x:row r="99" s="16" customFormat="1">
      <x:c r="A99"/>
      <x:c r="F99" s="22"/>
      <x:c r="H99" s="23"/>
      <x:c r="I99" s="23"/>
      <x:c r="J99" s="23"/>
      <x:c r="K99" s="24"/>
      <x:c r="L99" s="24"/>
      <x:c r="M99" s="24"/>
      <x:c r="N99" s="24"/>
      <x:c r="O99" s="24"/>
      <x:c r="P99" s="24"/>
      <x:c r="R99"/>
    </x:row>
    <x:row r="100" s="16" customFormat="1">
      <x:c r="A100"/>
      <x:c r="F100" s="22"/>
      <x:c r="H100" s="23"/>
      <x:c r="I100" s="23"/>
      <x:c r="J100" s="23"/>
      <x:c r="K100" s="24"/>
      <x:c r="L100" s="24"/>
      <x:c r="M100" s="24"/>
      <x:c r="N100" s="24"/>
      <x:c r="O100" s="24"/>
      <x:c r="P100" s="24"/>
      <x:c r="R100"/>
    </x:row>
    <x:row r="101" s="16" customFormat="1">
      <x:c r="A101"/>
      <x:c r="F101" s="22"/>
      <x:c r="H101" s="23"/>
      <x:c r="I101" s="23"/>
      <x:c r="J101" s="23"/>
      <x:c r="K101" s="24"/>
      <x:c r="L101" s="24"/>
      <x:c r="M101" s="24"/>
      <x:c r="N101" s="24"/>
      <x:c r="O101" s="24"/>
      <x:c r="P101" s="24"/>
      <x:c r="R101"/>
    </x:row>
    <x:row r="102" s="16" customFormat="1">
      <x:c r="A102"/>
      <x:c r="F102" s="22"/>
      <x:c r="H102" s="23"/>
      <x:c r="I102" s="23"/>
      <x:c r="J102" s="23"/>
      <x:c r="K102" s="24"/>
      <x:c r="L102" s="24"/>
      <x:c r="M102" s="24"/>
      <x:c r="N102" s="24"/>
      <x:c r="O102" s="24"/>
      <x:c r="P102" s="24"/>
      <x:c r="R102"/>
    </x:row>
    <x:row r="103" s="16" customFormat="1">
      <x:c r="A103"/>
      <x:c r="F103" s="22"/>
      <x:c r="H103" s="23"/>
      <x:c r="I103" s="23"/>
      <x:c r="J103" s="23"/>
      <x:c r="K103" s="24"/>
      <x:c r="L103" s="24"/>
      <x:c r="M103" s="24"/>
      <x:c r="N103" s="24"/>
      <x:c r="O103" s="24"/>
      <x:c r="P103" s="24"/>
      <x:c r="R103"/>
    </x:row>
    <x:row r="104" s="16" customFormat="1">
      <x:c r="A104"/>
      <x:c r="F104" s="22"/>
      <x:c r="H104" s="23"/>
      <x:c r="I104" s="23"/>
      <x:c r="J104" s="23"/>
      <x:c r="K104" s="24"/>
      <x:c r="L104" s="24"/>
      <x:c r="M104" s="24"/>
      <x:c r="N104" s="24"/>
      <x:c r="O104" s="24"/>
      <x:c r="P104" s="24"/>
      <x:c r="R104"/>
    </x:row>
    <x:row r="105" s="16" customFormat="1">
      <x:c r="A105"/>
      <x:c r="F105" s="22"/>
      <x:c r="H105" s="23"/>
      <x:c r="I105" s="23"/>
      <x:c r="J105" s="23"/>
      <x:c r="K105" s="24"/>
      <x:c r="L105" s="24"/>
      <x:c r="M105" s="24"/>
      <x:c r="N105" s="24"/>
      <x:c r="O105" s="24"/>
      <x:c r="P105" s="24"/>
      <x:c r="R105"/>
    </x:row>
    <x:row r="106" s="16" customFormat="1">
      <x:c r="A106"/>
      <x:c r="F106" s="22"/>
      <x:c r="H106" s="23"/>
      <x:c r="I106" s="23"/>
      <x:c r="J106" s="23"/>
      <x:c r="K106" s="24"/>
      <x:c r="L106" s="24"/>
      <x:c r="M106" s="24"/>
      <x:c r="N106" s="24"/>
      <x:c r="O106" s="24"/>
      <x:c r="P106" s="24"/>
      <x:c r="R106"/>
    </x:row>
    <x:row r="107" s="16" customFormat="1">
      <x:c r="A107"/>
      <x:c r="F107" s="22"/>
      <x:c r="H107" s="23"/>
      <x:c r="I107" s="23"/>
      <x:c r="J107" s="23"/>
      <x:c r="K107" s="24"/>
      <x:c r="L107" s="24"/>
      <x:c r="M107" s="24"/>
      <x:c r="N107" s="24"/>
      <x:c r="O107" s="24"/>
      <x:c r="P107" s="24"/>
      <x:c r="R107"/>
    </x:row>
    <x:row r="108" s="16" customFormat="1">
      <x:c r="A108"/>
      <x:c r="F108" s="22"/>
      <x:c r="H108" s="23"/>
      <x:c r="I108" s="23"/>
      <x:c r="J108" s="23"/>
      <x:c r="K108" s="24"/>
      <x:c r="L108" s="24"/>
      <x:c r="M108" s="24"/>
      <x:c r="N108" s="24"/>
      <x:c r="O108" s="24"/>
      <x:c r="P108" s="24"/>
      <x:c r="R108"/>
    </x:row>
    <x:row r="109" s="16" customFormat="1">
      <x:c r="A109"/>
      <x:c r="F109" s="22"/>
      <x:c r="H109" s="23"/>
      <x:c r="I109" s="23"/>
      <x:c r="J109" s="23"/>
      <x:c r="K109" s="24"/>
      <x:c r="L109" s="24"/>
      <x:c r="M109" s="24"/>
      <x:c r="N109" s="24"/>
      <x:c r="O109" s="24"/>
      <x:c r="P109" s="24"/>
      <x:c r="R109"/>
    </x:row>
    <x:row r="110" s="16" customFormat="1">
      <x:c r="A110"/>
      <x:c r="F110" s="22"/>
      <x:c r="H110" s="23"/>
      <x:c r="I110" s="23"/>
      <x:c r="J110" s="23"/>
      <x:c r="K110" s="24"/>
      <x:c r="L110" s="24"/>
      <x:c r="M110" s="24"/>
      <x:c r="N110" s="24"/>
      <x:c r="O110" s="24"/>
      <x:c r="P110" s="24"/>
      <x:c r="R110"/>
    </x:row>
    <x:row r="111" s="16" customFormat="1">
      <x:c r="A111"/>
      <x:c r="F111" s="22"/>
      <x:c r="H111" s="23"/>
      <x:c r="I111" s="23"/>
      <x:c r="J111" s="23"/>
      <x:c r="K111" s="24"/>
      <x:c r="L111" s="24"/>
      <x:c r="M111" s="24"/>
      <x:c r="N111" s="24"/>
      <x:c r="O111" s="24"/>
      <x:c r="P111" s="24"/>
      <x:c r="R111"/>
    </x:row>
    <x:row r="112" s="16" customFormat="1">
      <x:c r="A112"/>
      <x:c r="F112" s="22"/>
      <x:c r="H112" s="23"/>
      <x:c r="I112" s="23"/>
      <x:c r="J112" s="23"/>
      <x:c r="K112" s="24"/>
      <x:c r="L112" s="24"/>
      <x:c r="M112" s="24"/>
      <x:c r="N112" s="24"/>
      <x:c r="O112" s="24"/>
      <x:c r="P112" s="24"/>
      <x:c r="R112"/>
    </x:row>
    <x:row r="113" s="16" customFormat="1">
      <x:c r="A113"/>
      <x:c r="F113" s="22"/>
      <x:c r="H113" s="23"/>
      <x:c r="I113" s="23"/>
      <x:c r="J113" s="23"/>
      <x:c r="K113" s="24"/>
      <x:c r="L113" s="24"/>
      <x:c r="M113" s="24"/>
      <x:c r="N113" s="24"/>
      <x:c r="O113" s="24"/>
      <x:c r="P113" s="24"/>
      <x:c r="R113"/>
    </x:row>
    <x:row r="114" s="16" customFormat="1">
      <x:c r="A114"/>
      <x:c r="F114" s="22"/>
      <x:c r="H114" s="23"/>
      <x:c r="I114" s="23"/>
      <x:c r="J114" s="23"/>
      <x:c r="K114" s="24"/>
      <x:c r="L114" s="24"/>
      <x:c r="M114" s="24"/>
      <x:c r="N114" s="24"/>
      <x:c r="O114" s="24"/>
      <x:c r="P114" s="24"/>
      <x:c r="R114"/>
    </x:row>
    <x:row r="115" s="16" customFormat="1">
      <x:c r="A115"/>
      <x:c r="F115" s="22"/>
      <x:c r="H115" s="23"/>
      <x:c r="I115" s="23"/>
      <x:c r="J115" s="23"/>
      <x:c r="K115" s="24"/>
      <x:c r="L115" s="24"/>
      <x:c r="M115" s="24"/>
      <x:c r="N115" s="24"/>
      <x:c r="O115" s="24"/>
      <x:c r="P115" s="24"/>
      <x:c r="R115"/>
    </x:row>
    <x:row r="116" s="16" customFormat="1">
      <x:c r="A116"/>
      <x:c r="F116" s="22"/>
      <x:c r="H116" s="23"/>
      <x:c r="I116" s="23"/>
      <x:c r="J116" s="23"/>
      <x:c r="K116" s="24"/>
      <x:c r="L116" s="24"/>
      <x:c r="M116" s="24"/>
      <x:c r="N116" s="24"/>
      <x:c r="O116" s="24"/>
      <x:c r="P116" s="24"/>
      <x:c r="R116"/>
    </x:row>
    <x:row r="117" s="16" customFormat="1">
      <x:c r="A117"/>
      <x:c r="F117" s="22"/>
      <x:c r="H117" s="23"/>
      <x:c r="I117" s="23"/>
      <x:c r="J117" s="23"/>
      <x:c r="K117" s="24"/>
      <x:c r="L117" s="24"/>
      <x:c r="M117" s="24"/>
      <x:c r="N117" s="24"/>
      <x:c r="O117" s="24"/>
      <x:c r="P117" s="24"/>
      <x:c r="R117"/>
    </x:row>
  </x:sheetData>
  <x:mergeCells>
    <x:mergeCell ref="Q68:Q69"/>
    <x:mergeCell ref="B68:B69"/>
    <x:mergeCell ref="C68:C69"/>
    <x:mergeCell ref="D68:D69"/>
    <x:mergeCell ref="H68:H69"/>
    <x:mergeCell ref="K68:P68"/>
    <x:mergeCell ref="F2:F3"/>
    <x:mergeCell ref="B1:D1"/>
    <x:mergeCell ref="B2:B3"/>
    <x:mergeCell ref="C2:C3"/>
    <x:mergeCell ref="D2:D3"/>
    <x:mergeCell ref="E2:E3"/>
    <x:mergeCell ref="G2:G3"/>
    <x:mergeCell ref="H2:H3"/>
    <x:mergeCell ref="K2:K3"/>
    <x:mergeCell ref="H49:H50"/>
    <x:mergeCell ref="K49:P49"/>
    <x:mergeCell ref="L2:L3"/>
    <x:mergeCell ref="M2:M3"/>
    <x:mergeCell ref="Q49:Q50"/>
    <x:mergeCell ref="Q9:Q10"/>
    <x:mergeCell ref="B29:B30"/>
    <x:mergeCell ref="C29:C30"/>
    <x:mergeCell ref="D29:D30"/>
    <x:mergeCell ref="H29:H30"/>
    <x:mergeCell ref="K29:P29"/>
    <x:mergeCell ref="Q29:Q30"/>
    <x:mergeCell ref="B9:B10"/>
    <x:mergeCell ref="C9:C10"/>
    <x:mergeCell ref="D9:D10"/>
    <x:mergeCell ref="H9:H10"/>
    <x:mergeCell ref="K9:P9"/>
    <x:mergeCell ref="B49:B50"/>
    <x:mergeCell ref="C49:C50"/>
    <x:mergeCell ref="D49:D50"/>
  </x:mergeCells>
  <x:conditionalFormatting sqref="K11:K28 K31:K48 K51:K67 K70:K49999">
    <x:cfRule type="cellIs" dxfId="27" priority="6" operator="greaterThan">
      <x:formula>$C$6</x:formula>
    </x:cfRule>
    <x:cfRule type="cellIs" dxfId="26" priority="7" operator="greaterThan">
      <x:formula>$C$5</x:formula>
    </x:cfRule>
  </x:conditionalFormatting>
  <x:conditionalFormatting sqref="K11:P28 K31:P48 K51:P67 K70:P49999">
    <x:cfRule type="cellIs" dxfId="25" priority="5" operator="greaterThan">
      <x:formula>0</x:formula>
    </x:cfRule>
  </x:conditionalFormatting>
  <x:conditionalFormatting sqref="N11:N28 N31:N48 N51:N67 N70:N49999">
    <x:cfRule type="cellIs" dxfId="24" priority="3" operator="greaterThan">
      <x:formula>$E$6</x:formula>
    </x:cfRule>
    <x:cfRule type="cellIs" dxfId="23" priority="4" operator="greaterThan">
      <x:formula>$E$5</x:formula>
    </x:cfRule>
  </x:conditionalFormatting>
  <x:conditionalFormatting sqref="O11:O28 O31:O48 O51:O67 O70:O49999">
    <x:cfRule type="cellIs" dxfId="22" priority="1" operator="greaterThan">
      <x:formula>$K$6</x:formula>
    </x:cfRule>
    <x:cfRule type="cellIs" dxfId="21" priority="2" operator="greaterThan">
      <x:formula>$K$5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.109375" defaultRowHeight="14.399999618530273"/>
  <x:cols>
    <x:col min="1" max="1" width="5.109375" customWidth="1"/>
    <x:col min="2" max="7" width="12.6640625" style="16" customWidth="1"/>
    <x:col min="8" max="10" width="12.6640625" style="23" customWidth="1"/>
    <x:col min="11" max="16" width="12.6640625" style="24" customWidth="1"/>
    <x:col min="17" max="17" width="12.6640625" style="16" customWidth="1"/>
  </x:cols>
  <x:sheetData>
    <x:row r="1" s="6" customFormat="1" ht="23.399999618530273">
      <x:c r="A1" s="1" t="s">
        <x:v>0</x:v>
      </x:c>
      <x:c r="B1" s="60" t="s">
        <x:v>52</x:v>
      </x:c>
      <x:c r="C1" s="60"/>
      <x:c r="D1" s="60"/>
      <x:c r="E1" s="2" t="s">
        <x:v>2</x:v>
      </x:c>
      <x:c r="F1" s="3"/>
      <x:c r="G1" s="3"/>
      <x:c r="H1" s="4"/>
      <x:c r="I1" s="4"/>
      <x:c r="J1" s="4"/>
      <x:c r="K1" s="5"/>
      <x:c r="L1" s="5"/>
      <x:c r="M1" s="5"/>
      <x:c r="N1" s="5"/>
      <x:c r="O1" s="5"/>
      <x:c r="P1" s="5"/>
      <x:c r="Q1" s="3"/>
    </x:row>
    <x:row r="2" s="6" customFormat="1" ht="15" customHeight="1">
      <x:c r="A2" s="1"/>
      <x:c r="B2" s="56" t="s">
        <x:v>3</x:v>
      </x:c>
      <x:c r="C2" s="57" t="s">
        <x:v>4</x:v>
      </x:c>
      <x:c r="D2" s="57" t="s">
        <x:v>5</x:v>
      </x:c>
      <x:c r="E2" s="57" t="s">
        <x:v>6</x:v>
      </x:c>
      <x:c r="F2" s="57" t="s">
        <x:v>7</x:v>
      </x:c>
      <x:c r="G2" s="57" t="s">
        <x:v>8</x:v>
      </x:c>
      <x:c r="H2" s="57" t="s">
        <x:v>9</x:v>
      </x:c>
      <x:c r="I2" s="8"/>
      <x:c r="J2" s="8"/>
      <x:c r="K2" s="57" t="s">
        <x:v>10</x:v>
      </x:c>
      <x:c r="L2" s="57" t="s">
        <x:v>11</x:v>
      </x:c>
      <x:c r="M2" s="57" t="s">
        <x:v>12</x:v>
      </x:c>
    </x:row>
    <x:row r="3" s="6" customFormat="1" ht="15" customHeight="1">
      <x:c r="A3" s="1"/>
      <x:c r="B3" s="56"/>
      <x:c r="C3" s="57"/>
      <x:c r="D3" s="57"/>
      <x:c r="E3" s="57"/>
      <x:c r="F3" s="57"/>
      <x:c r="G3" s="57"/>
      <x:c r="H3" s="57"/>
      <x:c r="I3" s="8"/>
      <x:c r="J3" s="8"/>
      <x:c r="K3" s="57"/>
      <x:c r="L3" s="57"/>
      <x:c r="M3" s="57"/>
    </x:row>
    <x:row r="4" s="6" customFormat="1" ht="15" customHeight="1">
      <x:c r="A4" s="1"/>
      <x:c r="B4" s="9" t="s">
        <x:v>13</x:v>
      </x:c>
      <x:c r="C4" s="10" t="s">
        <x:v>14</x:v>
      </x:c>
      <x:c r="D4" s="11" t="s">
        <x:v>14</x:v>
      </x:c>
      <x:c r="E4" s="10" t="s">
        <x:v>14</x:v>
      </x:c>
      <x:c r="F4" s="11" t="e">
        <x:f>VLOOKUP(A1,[2]Std!1:1048576,12,FALSE)</x:f>
        <x:v>#NAME?</x:v>
      </x:c>
      <x:c r="G4" s="11" t="e">
        <x:f>VLOOKUP(A1,[2]Std!1:1048576,15,FALSE)</x:f>
        <x:v>#NAME?</x:v>
      </x:c>
      <x:c r="H4" s="11" t="e">
        <x:f>VLOOKUP(A1,[2]Std!1:1048576,18,FALSE)</x:f>
        <x:v>#NAME?</x:v>
      </x:c>
      <x:c r="I4" s="11"/>
      <x:c r="J4" s="11"/>
      <x:c r="K4" s="10" t="s">
        <x:v>14</x:v>
      </x:c>
      <x:c r="L4" s="12" t="s">
        <x:v>14</x:v>
      </x:c>
      <x:c r="M4" s="12" t="s">
        <x:v>14</x:v>
      </x:c>
    </x:row>
    <x:row r="5" s="6" customFormat="1" ht="15" customHeight="1">
      <x:c r="A5" s="1"/>
      <x:c r="B5" s="9" t="s">
        <x:v>15</x:v>
      </x:c>
      <x:c r="C5" s="10">
        <x:v>1</x:v>
      </x:c>
      <x:c r="D5" s="11" t="s">
        <x:v>14</x:v>
      </x:c>
      <x:c r="E5" s="10">
        <x:v>15</x:v>
      </x:c>
      <x:c r="F5" s="11">
        <x:v>0</x:v>
      </x:c>
      <x:c r="G5" s="11" t="e">
        <x:f>VLOOKUP(A1,[2]Std!1:1048576,16,FALSE)</x:f>
        <x:v>#NAME?</x:v>
      </x:c>
      <x:c r="H5" s="11" t="e">
        <x:f>VLOOKUP(A1,[2]Std!1:1048576,19,FALSE)</x:f>
        <x:v>#NAME?</x:v>
      </x:c>
      <x:c r="I5" s="11"/>
      <x:c r="J5" s="11"/>
      <x:c r="K5" s="10" t="s">
        <x:v>14</x:v>
      </x:c>
      <x:c r="L5" s="12">
        <x:v>0</x:v>
      </x:c>
      <x:c r="M5" s="12">
        <x:v>3.8</x:v>
      </x:c>
    </x:row>
    <x:row r="6" s="6" customFormat="1" ht="15" customHeight="1">
      <x:c r="A6" s="1"/>
      <x:c r="B6" s="9" t="s">
        <x:v>16</x:v>
      </x:c>
      <x:c r="C6" s="10">
        <x:v>1</x:v>
      </x:c>
      <x:c r="D6" s="11" t="s">
        <x:v>14</x:v>
      </x:c>
      <x:c r="E6" s="10">
        <x:v>25</x:v>
      </x:c>
      <x:c r="F6" s="11">
        <x:v>0</x:v>
      </x:c>
      <x:c r="G6" s="11" t="e">
        <x:f>VLOOKUP(A1,[2]Std!1:1048576,17,FALSE)</x:f>
        <x:v>#NAME?</x:v>
      </x:c>
      <x:c r="H6" s="11" t="e">
        <x:f>VLOOKUP(A1,[2]Std!1:1048576,20,FALSE)</x:f>
        <x:v>#NAME?</x:v>
      </x:c>
      <x:c r="I6" s="11"/>
      <x:c r="J6" s="11"/>
      <x:c r="K6" s="10" t="s">
        <x:v>14</x:v>
      </x:c>
      <x:c r="L6" s="12">
        <x:v>1</x:v>
      </x:c>
      <x:c r="M6" s="12">
        <x:v>3.5</x:v>
      </x:c>
    </x:row>
    <x:row r="7" s="6" customFormat="1" ht="15" customHeight="1">
      <x:c r="A7" s="1"/>
      <x:c r="B7" t="s">
        <x:v>17</x:v>
      </x:c>
      <x:c r="D7" s="3"/>
      <x:c r="E7" s="3"/>
      <x:c r="F7" s="3"/>
      <x:c r="G7" s="3"/>
      <x:c r="H7" s="4"/>
      <x:c r="I7" s="4"/>
      <x:c r="J7" s="4"/>
      <x:c r="K7" s="5"/>
      <x:c r="L7" s="5"/>
      <x:c r="M7" s="5"/>
      <x:c r="N7" s="5"/>
      <x:c r="O7" s="5"/>
      <x:c r="P7" s="5"/>
      <x:c r="Q7" s="3"/>
    </x:row>
    <x:row r="8" s="6" customFormat="1" ht="15" customHeight="1">
      <x:c r="A8" s="1"/>
      <x:c r="B8" t="s">
        <x:v>18</x:v>
      </x:c>
      <x:c r="C8" s="13"/>
      <x:c r="D8" s="3"/>
      <x:c r="E8" s="3"/>
      <x:c r="F8" s="3"/>
      <x:c r="G8" s="3"/>
      <x:c r="L8" t="s">
        <x:v>19</x:v>
      </x:c>
      <x:c r="N8" s="5"/>
      <x:c r="O8" s="5"/>
      <x:c r="P8" s="5"/>
      <x:c r="Q8" s="3"/>
    </x:row>
    <x:row r="9" ht="15" customHeight="1">
      <x:c r="B9" s="57" t="s">
        <x:v>20</x:v>
      </x:c>
      <x:c r="C9" s="57" t="s">
        <x:v>21</x:v>
      </x:c>
      <x:c r="D9" s="56" t="s">
        <x:v>22</x:v>
      </x:c>
      <x:c r="E9" s="9" t="s">
        <x:v>23</x:v>
      </x:c>
      <x:c r="F9" s="14" t="s">
        <x:v>24</x:v>
      </x:c>
      <x:c r="G9" s="9" t="s">
        <x:v>24</x:v>
      </x:c>
      <x:c r="H9" s="58" t="s">
        <x:v>25</x:v>
      </x:c>
      <x:c r="I9" s="15"/>
      <x:c r="J9" s="15"/>
      <x:c r="K9" s="59" t="s">
        <x:v>26</x:v>
      </x:c>
      <x:c r="L9" s="59"/>
      <x:c r="M9" s="59"/>
      <x:c r="N9" s="59"/>
      <x:c r="O9" s="59"/>
      <x:c r="P9" s="59"/>
      <x:c r="Q9" s="56" t="s">
        <x:v>27</x:v>
      </x:c>
      <x:c r="R9" s="16"/>
    </x:row>
    <x:row r="10" ht="28.799999237060547">
      <x:c r="B10" s="56"/>
      <x:c r="C10" s="56"/>
      <x:c r="D10" s="56"/>
      <x:c r="E10" s="7" t="s">
        <x:v>28</x:v>
      </x:c>
      <x:c r="F10" s="8" t="s">
        <x:v>29</x:v>
      </x:c>
      <x:c r="G10" s="8" t="s">
        <x:v>30</x:v>
      </x:c>
      <x:c r="H10" s="58"/>
      <x:c r="I10" s="15" t="s">
        <x:v>31</x:v>
      </x:c>
      <x:c r="J10" s="15" t="s">
        <x:v>32</x:v>
      </x:c>
      <x:c r="K10" s="17" t="s">
        <x:v>33</x:v>
      </x:c>
      <x:c r="L10" s="17" t="s">
        <x:v>34</x:v>
      </x:c>
      <x:c r="M10" s="17" t="s">
        <x:v>35</x:v>
      </x:c>
      <x:c r="N10" s="17" t="s">
        <x:v>36</x:v>
      </x:c>
      <x:c r="O10" s="17" t="s">
        <x:v>10</x:v>
      </x:c>
      <x:c r="P10" s="17" t="s">
        <x:v>37</x:v>
      </x:c>
      <x:c r="Q10" s="56"/>
      <x:c r="R10" s="16"/>
    </x:row>
    <x:row r="11">
      <x:c r="B11" s="18" t="s">
        <x:v>38</x:v>
      </x:c>
      <x:c r="C11" s="18" t="s">
        <x:v>47</x:v>
      </x:c>
      <x:c r="D11" s="19" t="str">
        <x:f>$B$1</x:f>
        <x:v>SDJC 1.5 x5N(E)</x:v>
      </x:c>
      <x:c r="E11" s="20" t="s">
        <x:v>53</x:v>
      </x:c>
      <x:c r="F11" s="18">
        <x:v>60622</x:v>
      </x:c>
      <x:c r="G11" s="18">
        <x:v>61105</x:v>
      </x:c>
      <x:c r="H11" s="21">
        <x:v>0.42152777777777778</x:v>
      </x:c>
      <x:c r="I11" s="20">
        <x:v>6</x:v>
      </x:c>
      <x:c r="J11" s="20">
        <x:v>1</x:v>
      </x:c>
      <x:c r="K11" s="10">
        <x:v>0</x:v>
      </x:c>
      <x:c r="L11" s="10">
        <x:v>0</x:v>
      </x:c>
      <x:c r="M11" s="10">
        <x:v>4</x:v>
      </x:c>
      <x:c r="N11" s="10" t="n">
        <x:f>L11+M11</x:f>
        <x:v>4</x:v>
      </x:c>
      <x:c r="O11" s="10">
        <x:v>1</x:v>
      </x:c>
      <x:c r="P11" s="10">
        <x:v>0</x:v>
      </x:c>
      <x:c r="Q11" s="20" t="s">
        <x:v>41</x:v>
      </x:c>
    </x:row>
    <x:row r="12" s="16" customFormat="1">
      <x:c r="A12"/>
      <x:c r="B12" s="18"/>
      <x:c r="C12" s="18" t="s">
        <x:v>47</x:v>
      </x:c>
      <x:c r="D12" s="19" t="str">
        <x:f t="shared" ref="D12:D25" si="0">$B$1</x:f>
        <x:v>SDJC 1.5 x5N(E)</x:v>
      </x:c>
      <x:c r="E12" s="20" t="s">
        <x:v>53</x:v>
      </x:c>
      <x:c r="F12" s="18">
        <x:v>60622</x:v>
      </x:c>
      <x:c r="G12" s="18">
        <x:v>61105</x:v>
      </x:c>
      <x:c r="H12" s="21">
        <x:v>0.42152777777777778</x:v>
      </x:c>
      <x:c r="I12" s="20">
        <x:v>3</x:v>
      </x:c>
      <x:c r="J12" s="20">
        <x:v>2</x:v>
      </x:c>
      <x:c r="K12" s="10">
        <x:v>0</x:v>
      </x:c>
      <x:c r="L12" s="10">
        <x:v>0</x:v>
      </x:c>
      <x:c r="M12" s="10">
        <x:v>2</x:v>
      </x:c>
      <x:c r="N12" s="10" t="n">
        <x:f>L12+M12</x:f>
        <x:v>2</x:v>
      </x:c>
      <x:c r="O12" s="10">
        <x:v>0</x:v>
      </x:c>
      <x:c r="P12" s="10">
        <x:v>0</x:v>
      </x:c>
      <x:c r="Q12" s="20" t="s">
        <x:v>42</x:v>
      </x:c>
      <x:c r="R12"/>
    </x:row>
    <x:row r="13" s="16" customFormat="1">
      <x:c r="A13"/>
      <x:c r="B13" s="18"/>
      <x:c r="C13" s="18" t="s">
        <x:v>47</x:v>
      </x:c>
      <x:c r="D13" s="19" t="str">
        <x:f t="shared" si="0"/>
        <x:v>SDJC 1.5 x5N(E)</x:v>
      </x:c>
      <x:c r="E13" s="20" t="s">
        <x:v>53</x:v>
      </x:c>
      <x:c r="F13" s="18">
        <x:v>60622</x:v>
      </x:c>
      <x:c r="G13" s="18">
        <x:v>61105</x:v>
      </x:c>
      <x:c r="H13" s="21">
        <x:v>0.42152777777777778</x:v>
      </x:c>
      <x:c r="I13" s="20">
        <x:v>6</x:v>
      </x:c>
      <x:c r="J13" s="20">
        <x:v>3</x:v>
      </x:c>
      <x:c r="K13" s="10">
        <x:v>0</x:v>
      </x:c>
      <x:c r="L13" s="10">
        <x:v>0</x:v>
      </x:c>
      <x:c r="M13" s="10">
        <x:v>8</x:v>
      </x:c>
      <x:c r="N13" s="10" t="n">
        <x:f t="shared" ref="N13:N25" si="1">L13+M13</x:f>
        <x:v>8</x:v>
      </x:c>
      <x:c r="O13" s="10">
        <x:v>0</x:v>
      </x:c>
      <x:c r="P13" s="10">
        <x:v>0</x:v>
      </x:c>
      <x:c r="Q13" s="20" t="s">
        <x:v>41</x:v>
      </x:c>
      <x:c r="R13"/>
    </x:row>
    <x:row r="14" s="16" customFormat="1">
      <x:c r="A14"/>
      <x:c r="B14" s="20"/>
      <x:c r="C14" s="18" t="s">
        <x:v>47</x:v>
      </x:c>
      <x:c r="D14" s="19" t="str">
        <x:f t="shared" si="0"/>
        <x:v>SDJC 1.5 x5N(E)</x:v>
      </x:c>
      <x:c r="E14" s="20" t="s">
        <x:v>53</x:v>
      </x:c>
      <x:c r="F14" s="18">
        <x:v>60622</x:v>
      </x:c>
      <x:c r="G14" s="18">
        <x:v>61105</x:v>
      </x:c>
      <x:c r="H14" s="21">
        <x:v>0.42152777777777778</x:v>
      </x:c>
      <x:c r="I14" s="20">
        <x:v>3</x:v>
      </x:c>
      <x:c r="J14" s="20">
        <x:v>4</x:v>
      </x:c>
      <x:c r="K14" s="10">
        <x:v>0</x:v>
      </x:c>
      <x:c r="L14" s="10">
        <x:v>0</x:v>
      </x:c>
      <x:c r="M14" s="10">
        <x:v>2</x:v>
      </x:c>
      <x:c r="N14" s="10">
        <x:f t="shared" si="1"/>
        <x:v>2</x:v>
      </x:c>
      <x:c r="O14" s="10">
        <x:v>0</x:v>
      </x:c>
      <x:c r="P14" s="10">
        <x:v>0</x:v>
      </x:c>
      <x:c r="Q14" s="20" t="s">
        <x:v>42</x:v>
      </x:c>
      <x:c r="R14"/>
    </x:row>
    <x:row r="15" s="16" customFormat="1">
      <x:c r="A15"/>
      <x:c r="B15" s="20"/>
      <x:c r="C15" s="18" t="s">
        <x:v>47</x:v>
      </x:c>
      <x:c r="D15" s="19" t="str">
        <x:f t="shared" si="0"/>
        <x:v>SDJC 1.5 x5N(E)</x:v>
      </x:c>
      <x:c r="E15" s="20" t="s">
        <x:v>53</x:v>
      </x:c>
      <x:c r="F15" s="18">
        <x:v>60622</x:v>
      </x:c>
      <x:c r="G15" s="18">
        <x:v>61105</x:v>
      </x:c>
      <x:c r="H15" s="21">
        <x:v>0.42152777777777778</x:v>
      </x:c>
      <x:c r="I15" s="20">
        <x:v>6</x:v>
      </x:c>
      <x:c r="J15" s="20">
        <x:v>5</x:v>
      </x:c>
      <x:c r="K15" s="10">
        <x:v>0</x:v>
      </x:c>
      <x:c r="L15" s="10">
        <x:v>0</x:v>
      </x:c>
      <x:c r="M15" s="10">
        <x:v>2</x:v>
      </x:c>
      <x:c r="N15" s="10">
        <x:f t="shared" si="1"/>
        <x:v>2</x:v>
      </x:c>
      <x:c r="O15" s="10">
        <x:v>1</x:v>
      </x:c>
      <x:c r="P15" s="10">
        <x:v>0</x:v>
      </x:c>
      <x:c r="Q15" s="20" t="s">
        <x:v>41</x:v>
      </x:c>
      <x:c r="R15"/>
    </x:row>
    <x:row r="16" s="16" customFormat="1">
      <x:c r="A16"/>
      <x:c r="B16" s="20"/>
      <x:c r="C16" s="18" t="s">
        <x:v>47</x:v>
      </x:c>
      <x:c r="D16" s="19" t="str">
        <x:f t="shared" si="0"/>
        <x:v>SDJC 1.5 x5N(E)</x:v>
      </x:c>
      <x:c r="E16" s="20" t="s">
        <x:v>53</x:v>
      </x:c>
      <x:c r="F16" s="18">
        <x:v>60622</x:v>
      </x:c>
      <x:c r="G16" s="18">
        <x:v>61105</x:v>
      </x:c>
      <x:c r="H16" s="21">
        <x:v>0.42152777777777778</x:v>
      </x:c>
      <x:c r="I16" s="20">
        <x:v>3</x:v>
      </x:c>
      <x:c r="J16" s="20">
        <x:v>6</x:v>
      </x:c>
      <x:c r="K16" s="10">
        <x:v>0</x:v>
      </x:c>
      <x:c r="L16" s="10">
        <x:v>0</x:v>
      </x:c>
      <x:c r="M16" s="10">
        <x:v>1</x:v>
      </x:c>
      <x:c r="N16" s="10">
        <x:f t="shared" si="1"/>
        <x:v>1</x:v>
      </x:c>
      <x:c r="O16" s="10">
        <x:v>0</x:v>
      </x:c>
      <x:c r="P16" s="10">
        <x:v>0</x:v>
      </x:c>
      <x:c r="Q16" s="20" t="s">
        <x:v>41</x:v>
      </x:c>
      <x:c r="R16"/>
    </x:row>
    <x:row r="17" s="16" customFormat="1">
      <x:c r="A17"/>
      <x:c r="B17" s="18"/>
      <x:c r="C17" s="18" t="s">
        <x:v>47</x:v>
      </x:c>
      <x:c r="D17" s="19" t="str">
        <x:f t="shared" si="0"/>
        <x:v>SDJC 1.5 x5N(E)</x:v>
      </x:c>
      <x:c r="E17" s="20" t="s">
        <x:v>53</x:v>
      </x:c>
      <x:c r="F17" s="18">
        <x:v>60622</x:v>
      </x:c>
      <x:c r="G17" s="18">
        <x:v>61105</x:v>
      </x:c>
      <x:c r="H17" s="21">
        <x:v>0.42152777777777778</x:v>
      </x:c>
      <x:c r="I17" s="20">
        <x:v>6</x:v>
      </x:c>
      <x:c r="J17" s="20">
        <x:v>7</x:v>
      </x:c>
      <x:c r="K17" s="10">
        <x:v>0</x:v>
      </x:c>
      <x:c r="L17" s="10">
        <x:v>0</x:v>
      </x:c>
      <x:c r="M17" s="10">
        <x:v>2</x:v>
      </x:c>
      <x:c r="N17" s="10">
        <x:f t="shared" si="1"/>
        <x:v>2</x:v>
      </x:c>
      <x:c r="O17" s="10">
        <x:v>0</x:v>
      </x:c>
      <x:c r="P17" s="10">
        <x:v>0</x:v>
      </x:c>
      <x:c r="Q17" s="20" t="s">
        <x:v>41</x:v>
      </x:c>
      <x:c r="R17"/>
    </x:row>
    <x:row r="18" s="16" customFormat="1">
      <x:c r="A18"/>
      <x:c r="B18" s="18"/>
      <x:c r="C18" s="18" t="s">
        <x:v>47</x:v>
      </x:c>
      <x:c r="D18" s="19" t="str">
        <x:f t="shared" si="0"/>
        <x:v>SDJC 1.5 x5N(E)</x:v>
      </x:c>
      <x:c r="E18" s="20" t="s">
        <x:v>53</x:v>
      </x:c>
      <x:c r="F18" s="18">
        <x:v>60622</x:v>
      </x:c>
      <x:c r="G18" s="18">
        <x:v>61105</x:v>
      </x:c>
      <x:c r="H18" s="21">
        <x:v>0.42152777777777778</x:v>
      </x:c>
      <x:c r="I18" s="20">
        <x:v>3</x:v>
      </x:c>
      <x:c r="J18" s="20">
        <x:v>8</x:v>
      </x:c>
      <x:c r="K18" s="10">
        <x:v>0</x:v>
      </x:c>
      <x:c r="L18" s="10">
        <x:v>0</x:v>
      </x:c>
      <x:c r="M18" s="10">
        <x:v>3</x:v>
      </x:c>
      <x:c r="N18" s="10">
        <x:f t="shared" si="1"/>
        <x:v>3</x:v>
      </x:c>
      <x:c r="O18" s="10">
        <x:v>1</x:v>
      </x:c>
      <x:c r="P18" s="10">
        <x:v>0</x:v>
      </x:c>
      <x:c r="Q18" s="20" t="s">
        <x:v>42</x:v>
      </x:c>
      <x:c r="R18"/>
    </x:row>
    <x:row r="19" s="16" customFormat="1">
      <x:c r="A19"/>
      <x:c r="B19" s="18"/>
      <x:c r="C19" s="18" t="s">
        <x:v>47</x:v>
      </x:c>
      <x:c r="D19" s="19" t="str">
        <x:f t="shared" si="0"/>
        <x:v>SDJC 1.5 x5N(E)</x:v>
      </x:c>
      <x:c r="E19" s="20" t="s">
        <x:v>53</x:v>
      </x:c>
      <x:c r="F19" s="18">
        <x:v>60622</x:v>
      </x:c>
      <x:c r="G19" s="18">
        <x:v>61105</x:v>
      </x:c>
      <x:c r="H19" s="21">
        <x:v>0.42152777777777778</x:v>
      </x:c>
      <x:c r="I19" s="20">
        <x:v>6</x:v>
      </x:c>
      <x:c r="J19" s="20">
        <x:v>9</x:v>
      </x:c>
      <x:c r="K19" s="10">
        <x:v>0</x:v>
      </x:c>
      <x:c r="L19" s="10">
        <x:v>0</x:v>
      </x:c>
      <x:c r="M19" s="10">
        <x:v>1</x:v>
      </x:c>
      <x:c r="N19" s="10">
        <x:f t="shared" si="1"/>
        <x:v>1</x:v>
      </x:c>
      <x:c r="O19" s="10">
        <x:v>1</x:v>
      </x:c>
      <x:c r="P19" s="10">
        <x:v>0</x:v>
      </x:c>
      <x:c r="Q19" s="20" t="s">
        <x:v>41</x:v>
      </x:c>
      <x:c r="R19"/>
    </x:row>
    <x:row r="20" s="16" customFormat="1">
      <x:c r="A20"/>
      <x:c r="B20" s="20"/>
      <x:c r="C20" s="18" t="s">
        <x:v>47</x:v>
      </x:c>
      <x:c r="D20" s="19" t="str">
        <x:f t="shared" si="0"/>
        <x:v>SDJC 1.5 x5N(E)</x:v>
      </x:c>
      <x:c r="E20" s="20" t="s">
        <x:v>53</x:v>
      </x:c>
      <x:c r="F20" s="18">
        <x:v>60622</x:v>
      </x:c>
      <x:c r="G20" s="18">
        <x:v>61105</x:v>
      </x:c>
      <x:c r="H20" s="21">
        <x:v>0.42152777777777778</x:v>
      </x:c>
      <x:c r="I20" s="20">
        <x:v>3</x:v>
      </x:c>
      <x:c r="J20" s="20">
        <x:v>10</x:v>
      </x:c>
      <x:c r="K20" s="10">
        <x:v>0</x:v>
      </x:c>
      <x:c r="L20" s="10">
        <x:v>0</x:v>
      </x:c>
      <x:c r="M20" s="10">
        <x:v>2</x:v>
      </x:c>
      <x:c r="N20" s="10">
        <x:f t="shared" si="1"/>
        <x:v>2</x:v>
      </x:c>
      <x:c r="O20" s="10">
        <x:v>0</x:v>
      </x:c>
      <x:c r="P20" s="10">
        <x:v>0</x:v>
      </x:c>
      <x:c r="Q20" s="20" t="s">
        <x:v>41</x:v>
      </x:c>
      <x:c r="R20"/>
    </x:row>
    <x:row r="21" s="16" customFormat="1">
      <x:c r="A21"/>
      <x:c r="B21" s="20"/>
      <x:c r="C21" s="18" t="s">
        <x:v>47</x:v>
      </x:c>
      <x:c r="D21" s="19" t="str">
        <x:f t="shared" si="0"/>
        <x:v>SDJC 1.5 x5N(E)</x:v>
      </x:c>
      <x:c r="E21" s="20" t="s">
        <x:v>53</x:v>
      </x:c>
      <x:c r="F21" s="18">
        <x:v>60622</x:v>
      </x:c>
      <x:c r="G21" s="18">
        <x:v>61105</x:v>
      </x:c>
      <x:c r="H21" s="21">
        <x:v>0.42152777777777778</x:v>
      </x:c>
      <x:c r="I21" s="20">
        <x:v>6</x:v>
      </x:c>
      <x:c r="J21" s="20">
        <x:v>11</x:v>
      </x:c>
      <x:c r="K21" s="10">
        <x:v>0</x:v>
      </x:c>
      <x:c r="L21" s="10">
        <x:v>0</x:v>
      </x:c>
      <x:c r="M21" s="10">
        <x:v>1</x:v>
      </x:c>
      <x:c r="N21" s="10">
        <x:f t="shared" si="1"/>
        <x:v>1</x:v>
      </x:c>
      <x:c r="O21" s="10">
        <x:v>0</x:v>
      </x:c>
      <x:c r="P21" s="10">
        <x:v>0</x:v>
      </x:c>
      <x:c r="Q21" s="20" t="s">
        <x:v>42</x:v>
      </x:c>
      <x:c r="R21"/>
    </x:row>
    <x:row r="22" s="16" customFormat="1">
      <x:c r="A22"/>
      <x:c r="B22" s="20"/>
      <x:c r="C22" s="18" t="s">
        <x:v>47</x:v>
      </x:c>
      <x:c r="D22" s="19" t="str">
        <x:f t="shared" si="0"/>
        <x:v>SDJC 1.5 x5N(E)</x:v>
      </x:c>
      <x:c r="E22" s="20" t="s">
        <x:v>53</x:v>
      </x:c>
      <x:c r="F22" s="18">
        <x:v>60622</x:v>
      </x:c>
      <x:c r="G22" s="18">
        <x:v>61105</x:v>
      </x:c>
      <x:c r="H22" s="21">
        <x:v>0.42152777777777778</x:v>
      </x:c>
      <x:c r="I22" s="20">
        <x:v>3</x:v>
      </x:c>
      <x:c r="J22" s="20">
        <x:v>12</x:v>
      </x:c>
      <x:c r="K22" s="10">
        <x:v>0</x:v>
      </x:c>
      <x:c r="L22" s="10">
        <x:v>0</x:v>
      </x:c>
      <x:c r="M22" s="10">
        <x:v>0</x:v>
      </x:c>
      <x:c r="N22" s="10">
        <x:f t="shared" si="1"/>
        <x:v>0</x:v>
      </x:c>
      <x:c r="O22" s="10">
        <x:v>0</x:v>
      </x:c>
      <x:c r="P22" s="10">
        <x:v>0</x:v>
      </x:c>
      <x:c r="Q22" s="20" t="s">
        <x:v>41</x:v>
      </x:c>
      <x:c r="R22"/>
    </x:row>
    <x:row r="23" s="16" customFormat="1" ht="15" customHeight="1">
      <x:c r="A23"/>
      <x:c r="B23" s="20"/>
      <x:c r="C23" s="18" t="s">
        <x:v>47</x:v>
      </x:c>
      <x:c r="D23" s="19" t="str">
        <x:f t="shared" si="0"/>
        <x:v>SDJC 1.5 x5N(E)</x:v>
      </x:c>
      <x:c r="E23" s="20" t="s">
        <x:v>53</x:v>
      </x:c>
      <x:c r="F23" s="18">
        <x:v>60622</x:v>
      </x:c>
      <x:c r="G23" s="18">
        <x:v>61105</x:v>
      </x:c>
      <x:c r="H23" s="21">
        <x:v>0.42152777777777778</x:v>
      </x:c>
      <x:c r="I23" s="20">
        <x:v>6</x:v>
      </x:c>
      <x:c r="J23" s="20">
        <x:v>13</x:v>
      </x:c>
      <x:c r="K23" s="10">
        <x:v>0</x:v>
      </x:c>
      <x:c r="L23" s="10">
        <x:v>0</x:v>
      </x:c>
      <x:c r="M23" s="10">
        <x:v>3</x:v>
      </x:c>
      <x:c r="N23" s="10">
        <x:f t="shared" si="1"/>
        <x:v>3</x:v>
      </x:c>
      <x:c r="O23" s="10">
        <x:v>0</x:v>
      </x:c>
      <x:c r="P23" s="10">
        <x:v>0</x:v>
      </x:c>
      <x:c r="Q23" s="20" t="s">
        <x:v>42</x:v>
      </x:c>
      <x:c r="R23"/>
    </x:row>
    <x:row r="24" s="16" customFormat="1" ht="15" customHeight="1">
      <x:c r="A24"/>
      <x:c r="B24" s="20"/>
      <x:c r="C24" s="18" t="s">
        <x:v>47</x:v>
      </x:c>
      <x:c r="D24" s="19" t="str">
        <x:f t="shared" si="0"/>
        <x:v>SDJC 1.5 x5N(E)</x:v>
      </x:c>
      <x:c r="E24" s="20" t="s">
        <x:v>53</x:v>
      </x:c>
      <x:c r="F24" s="18">
        <x:v>60622</x:v>
      </x:c>
      <x:c r="G24" s="18">
        <x:v>61105</x:v>
      </x:c>
      <x:c r="H24" s="21">
        <x:v>0.42152777777777778</x:v>
      </x:c>
      <x:c r="I24" s="20">
        <x:v>3</x:v>
      </x:c>
      <x:c r="J24" s="20">
        <x:v>14</x:v>
      </x:c>
      <x:c r="K24" s="10">
        <x:v>0</x:v>
      </x:c>
      <x:c r="L24" s="10">
        <x:v>0</x:v>
      </x:c>
      <x:c r="M24" s="10">
        <x:v>0</x:v>
      </x:c>
      <x:c r="N24" s="10">
        <x:f t="shared" si="1"/>
        <x:v>0</x:v>
      </x:c>
      <x:c r="O24" s="10">
        <x:v>0</x:v>
      </x:c>
      <x:c r="P24" s="10">
        <x:v>0</x:v>
      </x:c>
      <x:c r="Q24" s="20" t="s">
        <x:v>41</x:v>
      </x:c>
      <x:c r="R24"/>
    </x:row>
    <x:row r="25" s="16" customFormat="1" ht="15" customHeight="1">
      <x:c r="A25"/>
      <x:c r="B25" s="27"/>
      <x:c r="C25" s="25" t="s">
        <x:v>47</x:v>
      </x:c>
      <x:c r="D25" s="26" t="str">
        <x:f t="shared" si="0"/>
        <x:v>SDJC 1.5 x5N(E)</x:v>
      </x:c>
      <x:c r="E25" s="27" t="s">
        <x:v>53</x:v>
      </x:c>
      <x:c r="F25" s="25">
        <x:v>60622</x:v>
      </x:c>
      <x:c r="G25" s="18">
        <x:v>61105</x:v>
      </x:c>
      <x:c r="H25" s="28">
        <x:v>0.42152777777777778</x:v>
      </x:c>
      <x:c r="I25" s="27">
        <x:v>6</x:v>
      </x:c>
      <x:c r="J25" s="27">
        <x:v>15</x:v>
      </x:c>
      <x:c r="K25" s="29">
        <x:v>0</x:v>
      </x:c>
      <x:c r="L25" s="29">
        <x:v>0</x:v>
      </x:c>
      <x:c r="M25" s="29">
        <x:v>2</x:v>
      </x:c>
      <x:c r="N25" s="29">
        <x:f t="shared" si="1"/>
        <x:v>2</x:v>
      </x:c>
      <x:c r="O25" s="29">
        <x:v>0</x:v>
      </x:c>
      <x:c r="P25" s="29">
        <x:v>0</x:v>
      </x:c>
      <x:c r="Q25" s="27" t="s">
        <x:v>42</x:v>
      </x:c>
      <x:c r="R25"/>
    </x:row>
    <x:row r="26" s="16" customFormat="1">
      <x:c r="A26"/>
      <x:c r="B26" s="31"/>
      <x:c r="C26" s="32"/>
      <x:c r="D26" s="33"/>
      <x:c r="E26" s="31"/>
      <x:c r="F26" s="32"/>
      <x:c r="G26" s="32"/>
      <x:c r="H26" s="34"/>
      <x:c r="I26" s="34"/>
      <x:c r="J26" s="31"/>
      <x:c r="K26" s="35"/>
      <x:c r="L26" s="35"/>
      <x:c r="M26" s="35"/>
      <x:c r="N26" s="35"/>
      <x:c r="O26" s="35"/>
      <x:c r="P26" s="35"/>
      <x:c r="Q26" s="31"/>
      <x:c r="R26"/>
    </x:row>
    <x:row r="27" s="16" customFormat="1">
      <x:c r="A27"/>
      <x:c r="F27" s="22"/>
      <x:c r="H27" s="23"/>
      <x:c r="I27" s="23"/>
      <x:c r="J27" s="23"/>
      <x:c r="K27" s="24"/>
      <x:c r="L27" s="24"/>
      <x:c r="M27" s="24"/>
      <x:c r="N27" s="24"/>
      <x:c r="O27" s="24"/>
      <x:c r="P27" s="24"/>
      <x:c r="R27"/>
    </x:row>
    <x:row r="28" s="16" customFormat="1">
      <x:c r="A28"/>
      <x:c r="F28" s="22"/>
      <x:c r="H28" s="23"/>
      <x:c r="I28" s="23"/>
      <x:c r="J28" s="23"/>
      <x:c r="K28" s="24"/>
      <x:c r="L28" s="24"/>
      <x:c r="M28" s="24"/>
      <x:c r="N28" s="24"/>
      <x:c r="O28" s="24"/>
      <x:c r="P28" s="24"/>
      <x:c r="R28"/>
    </x:row>
    <x:row r="29" s="16" customFormat="1">
      <x:c r="A29"/>
      <x:c r="B29" s="57" t="s">
        <x:v>20</x:v>
      </x:c>
      <x:c r="C29" s="57" t="s">
        <x:v>21</x:v>
      </x:c>
      <x:c r="D29" s="56" t="s">
        <x:v>22</x:v>
      </x:c>
      <x:c r="E29" s="9" t="s">
        <x:v>23</x:v>
      </x:c>
      <x:c r="F29" s="14" t="s">
        <x:v>24</x:v>
      </x:c>
      <x:c r="G29" s="9" t="s">
        <x:v>24</x:v>
      </x:c>
      <x:c r="H29" s="58" t="s">
        <x:v>25</x:v>
      </x:c>
      <x:c r="I29" s="15"/>
      <x:c r="J29" s="15"/>
      <x:c r="K29" s="59" t="s">
        <x:v>26</x:v>
      </x:c>
      <x:c r="L29" s="59"/>
      <x:c r="M29" s="59"/>
      <x:c r="N29" s="59"/>
      <x:c r="O29" s="59"/>
      <x:c r="P29" s="59"/>
      <x:c r="Q29" s="56" t="s">
        <x:v>27</x:v>
      </x:c>
      <x:c r="R29"/>
    </x:row>
    <x:row r="30" s="16" customFormat="1" ht="28.799999237060547">
      <x:c r="A30"/>
      <x:c r="B30" s="56"/>
      <x:c r="C30" s="56"/>
      <x:c r="D30" s="56"/>
      <x:c r="E30" s="7" t="s">
        <x:v>28</x:v>
      </x:c>
      <x:c r="F30" s="8" t="s">
        <x:v>29</x:v>
      </x:c>
      <x:c r="G30" s="8" t="s">
        <x:v>30</x:v>
      </x:c>
      <x:c r="H30" s="58"/>
      <x:c r="I30" s="15" t="s">
        <x:v>31</x:v>
      </x:c>
      <x:c r="J30" s="15" t="s">
        <x:v>32</x:v>
      </x:c>
      <x:c r="K30" s="17" t="s">
        <x:v>33</x:v>
      </x:c>
      <x:c r="L30" s="17" t="s">
        <x:v>34</x:v>
      </x:c>
      <x:c r="M30" s="17" t="s">
        <x:v>35</x:v>
      </x:c>
      <x:c r="N30" s="17" t="s">
        <x:v>36</x:v>
      </x:c>
      <x:c r="O30" s="17" t="s">
        <x:v>10</x:v>
      </x:c>
      <x:c r="P30" s="17" t="s">
        <x:v>37</x:v>
      </x:c>
      <x:c r="Q30" s="56"/>
      <x:c r="R30"/>
    </x:row>
    <x:row r="31" s="16" customFormat="1">
      <x:c r="A31"/>
      <x:c r="B31" s="18" t="s">
        <x:v>38</x:v>
      </x:c>
      <x:c r="C31" s="18" t="s">
        <x:v>47</x:v>
      </x:c>
      <x:c r="D31" s="19" t="str">
        <x:f t="shared" ref="D31:D45" si="2">$B$1</x:f>
        <x:v>SDJC 1.5 x5N(E)</x:v>
      </x:c>
      <x:c r="E31" s="20" t="s">
        <x:v>53</x:v>
      </x:c>
      <x:c r="F31" s="18">
        <x:v>60622</x:v>
      </x:c>
      <x:c r="G31" s="18">
        <x:v>61105</x:v>
      </x:c>
      <x:c r="H31" s="21">
        <x:v>0.42152777777777778</x:v>
      </x:c>
      <x:c r="I31" s="20">
        <x:v>3</x:v>
      </x:c>
      <x:c r="J31" s="20">
        <x:v>1</x:v>
      </x:c>
      <x:c r="K31" s="10">
        <x:v>0</x:v>
      </x:c>
      <x:c r="L31" s="10">
        <x:v>0</x:v>
      </x:c>
      <x:c r="M31" s="10">
        <x:v>2</x:v>
      </x:c>
      <x:c r="N31" s="10" t="n">
        <x:f>L31+M31</x:f>
        <x:v>2</x:v>
      </x:c>
      <x:c r="O31" s="10">
        <x:v>0</x:v>
      </x:c>
      <x:c r="P31" s="10">
        <x:v>0</x:v>
      </x:c>
      <x:c r="Q31" s="20" t="s">
        <x:v>43</x:v>
      </x:c>
      <x:c r="R31"/>
    </x:row>
    <x:row r="32" s="16" customFormat="1">
      <x:c r="A32"/>
      <x:c r="B32" s="18"/>
      <x:c r="C32" s="18" t="s">
        <x:v>47</x:v>
      </x:c>
      <x:c r="D32" s="19" t="str">
        <x:f t="shared" si="2"/>
        <x:v>SDJC 1.5 x5N(E)</x:v>
      </x:c>
      <x:c r="E32" s="20" t="s">
        <x:v>53</x:v>
      </x:c>
      <x:c r="F32" s="18">
        <x:v>60622</x:v>
      </x:c>
      <x:c r="G32" s="18">
        <x:v>61105</x:v>
      </x:c>
      <x:c r="H32" s="21">
        <x:v>0.42152777777777778</x:v>
      </x:c>
      <x:c r="I32" s="20">
        <x:v>6</x:v>
      </x:c>
      <x:c r="J32" s="20">
        <x:v>2</x:v>
      </x:c>
      <x:c r="K32" s="10">
        <x:v>0</x:v>
      </x:c>
      <x:c r="L32" s="10">
        <x:v>0</x:v>
      </x:c>
      <x:c r="M32" s="10">
        <x:v>1</x:v>
      </x:c>
      <x:c r="N32" s="10" t="n">
        <x:f>L32+M32</x:f>
        <x:v>1</x:v>
      </x:c>
      <x:c r="O32" s="10">
        <x:v>0</x:v>
      </x:c>
      <x:c r="P32" s="10">
        <x:v>0</x:v>
      </x:c>
      <x:c r="Q32" s="20" t="s">
        <x:v>43</x:v>
      </x:c>
      <x:c r="R32"/>
    </x:row>
    <x:row r="33" s="16" customFormat="1">
      <x:c r="A33"/>
      <x:c r="B33" s="18"/>
      <x:c r="C33" s="18" t="s">
        <x:v>47</x:v>
      </x:c>
      <x:c r="D33" s="19" t="str">
        <x:f t="shared" si="2"/>
        <x:v>SDJC 1.5 x5N(E)</x:v>
      </x:c>
      <x:c r="E33" s="20" t="s">
        <x:v>53</x:v>
      </x:c>
      <x:c r="F33" s="18">
        <x:v>60622</x:v>
      </x:c>
      <x:c r="G33" s="18">
        <x:v>61105</x:v>
      </x:c>
      <x:c r="H33" s="21">
        <x:v>0.42152777777777778</x:v>
      </x:c>
      <x:c r="I33" s="20">
        <x:v>3</x:v>
      </x:c>
      <x:c r="J33" s="20">
        <x:v>3</x:v>
      </x:c>
      <x:c r="K33" s="10">
        <x:v>1</x:v>
      </x:c>
      <x:c r="L33" s="10">
        <x:v>0</x:v>
      </x:c>
      <x:c r="M33" s="10">
        <x:v>0</x:v>
      </x:c>
      <x:c r="N33" s="10" t="n">
        <x:f t="shared" ref="N33:N45" si="3">L33+M33</x:f>
        <x:v>0</x:v>
      </x:c>
      <x:c r="O33" s="10">
        <x:v>0</x:v>
      </x:c>
      <x:c r="P33" s="10">
        <x:v>0</x:v>
      </x:c>
      <x:c r="Q33" s="20" t="s">
        <x:v>43</x:v>
      </x:c>
      <x:c r="R33"/>
    </x:row>
    <x:row r="34" s="16" customFormat="1">
      <x:c r="A34"/>
      <x:c r="B34" s="20"/>
      <x:c r="C34" s="18" t="s">
        <x:v>47</x:v>
      </x:c>
      <x:c r="D34" s="19" t="str">
        <x:f t="shared" si="2"/>
        <x:v>SDJC 1.5 x5N(E)</x:v>
      </x:c>
      <x:c r="E34" s="20" t="s">
        <x:v>53</x:v>
      </x:c>
      <x:c r="F34" s="18">
        <x:v>60622</x:v>
      </x:c>
      <x:c r="G34" s="18">
        <x:v>61105</x:v>
      </x:c>
      <x:c r="H34" s="21">
        <x:v>0.42152777777777778</x:v>
      </x:c>
      <x:c r="I34" s="20">
        <x:v>6</x:v>
      </x:c>
      <x:c r="J34" s="20">
        <x:v>4</x:v>
      </x:c>
      <x:c r="K34" s="10">
        <x:v>0</x:v>
      </x:c>
      <x:c r="L34" s="10">
        <x:v>0</x:v>
      </x:c>
      <x:c r="M34" s="10">
        <x:v>5</x:v>
      </x:c>
      <x:c r="N34" s="10">
        <x:f t="shared" si="3"/>
        <x:v>5</x:v>
      </x:c>
      <x:c r="O34" s="10">
        <x:v>0</x:v>
      </x:c>
      <x:c r="P34" s="10">
        <x:v>0</x:v>
      </x:c>
      <x:c r="Q34" s="20" t="s">
        <x:v>43</x:v>
      </x:c>
      <x:c r="R34"/>
    </x:row>
    <x:row r="35" s="16" customFormat="1">
      <x:c r="A35"/>
      <x:c r="B35" s="20"/>
      <x:c r="C35" s="18" t="s">
        <x:v>47</x:v>
      </x:c>
      <x:c r="D35" s="19" t="str">
        <x:f t="shared" si="2"/>
        <x:v>SDJC 1.5 x5N(E)</x:v>
      </x:c>
      <x:c r="E35" s="20" t="s">
        <x:v>53</x:v>
      </x:c>
      <x:c r="F35" s="18">
        <x:v>60622</x:v>
      </x:c>
      <x:c r="G35" s="18">
        <x:v>61105</x:v>
      </x:c>
      <x:c r="H35" s="21">
        <x:v>0.42152777777777778</x:v>
      </x:c>
      <x:c r="I35" s="20">
        <x:v>3</x:v>
      </x:c>
      <x:c r="J35" s="20">
        <x:v>5</x:v>
      </x:c>
      <x:c r="K35" s="10">
        <x:v>0</x:v>
      </x:c>
      <x:c r="L35" s="10">
        <x:v>0</x:v>
      </x:c>
      <x:c r="M35" s="10">
        <x:v>3</x:v>
      </x:c>
      <x:c r="N35" s="10">
        <x:f t="shared" si="3"/>
        <x:v>3</x:v>
      </x:c>
      <x:c r="O35" s="10">
        <x:v>0</x:v>
      </x:c>
      <x:c r="P35" s="10">
        <x:v>0</x:v>
      </x:c>
      <x:c r="Q35" s="20" t="s">
        <x:v>43</x:v>
      </x:c>
      <x:c r="R35"/>
    </x:row>
    <x:row r="36" s="16" customFormat="1">
      <x:c r="A36"/>
      <x:c r="B36" s="20"/>
      <x:c r="C36" s="18" t="s">
        <x:v>47</x:v>
      </x:c>
      <x:c r="D36" s="19" t="str">
        <x:f t="shared" si="2"/>
        <x:v>SDJC 1.5 x5N(E)</x:v>
      </x:c>
      <x:c r="E36" s="20" t="s">
        <x:v>53</x:v>
      </x:c>
      <x:c r="F36" s="18">
        <x:v>60622</x:v>
      </x:c>
      <x:c r="G36" s="18">
        <x:v>61105</x:v>
      </x:c>
      <x:c r="H36" s="21">
        <x:v>0.42152777777777778</x:v>
      </x:c>
      <x:c r="I36" s="20">
        <x:v>6</x:v>
      </x:c>
      <x:c r="J36" s="20">
        <x:v>6</x:v>
      </x:c>
      <x:c r="K36" s="10">
        <x:v>0</x:v>
      </x:c>
      <x:c r="L36" s="10">
        <x:v>0</x:v>
      </x:c>
      <x:c r="M36" s="10">
        <x:v>1</x:v>
      </x:c>
      <x:c r="N36" s="10">
        <x:f t="shared" si="3"/>
        <x:v>1</x:v>
      </x:c>
      <x:c r="O36" s="10">
        <x:v>0</x:v>
      </x:c>
      <x:c r="P36" s="10">
        <x:v>0</x:v>
      </x:c>
      <x:c r="Q36" s="20" t="s">
        <x:v>43</x:v>
      </x:c>
      <x:c r="R36"/>
    </x:row>
    <x:row r="37" s="16" customFormat="1">
      <x:c r="A37"/>
      <x:c r="B37" s="18"/>
      <x:c r="C37" s="18" t="s">
        <x:v>47</x:v>
      </x:c>
      <x:c r="D37" s="19" t="str">
        <x:f t="shared" si="2"/>
        <x:v>SDJC 1.5 x5N(E)</x:v>
      </x:c>
      <x:c r="E37" s="20" t="s">
        <x:v>53</x:v>
      </x:c>
      <x:c r="F37" s="18">
        <x:v>60622</x:v>
      </x:c>
      <x:c r="G37" s="18">
        <x:v>61105</x:v>
      </x:c>
      <x:c r="H37" s="21">
        <x:v>0.42152777777777778</x:v>
      </x:c>
      <x:c r="I37" s="20">
        <x:v>3</x:v>
      </x:c>
      <x:c r="J37" s="20">
        <x:v>7</x:v>
      </x:c>
      <x:c r="K37" s="10">
        <x:v>0</x:v>
      </x:c>
      <x:c r="L37" s="10">
        <x:v>0</x:v>
      </x:c>
      <x:c r="M37" s="10">
        <x:v>2</x:v>
      </x:c>
      <x:c r="N37" s="10">
        <x:f t="shared" si="3"/>
        <x:v>2</x:v>
      </x:c>
      <x:c r="O37" s="10">
        <x:v>0</x:v>
      </x:c>
      <x:c r="P37" s="10">
        <x:v>0</x:v>
      </x:c>
      <x:c r="Q37" s="20" t="s">
        <x:v>43</x:v>
      </x:c>
      <x:c r="R37"/>
    </x:row>
    <x:row r="38" s="16" customFormat="1">
      <x:c r="A38"/>
      <x:c r="B38" s="18"/>
      <x:c r="C38" s="18" t="s">
        <x:v>47</x:v>
      </x:c>
      <x:c r="D38" s="19" t="str">
        <x:f t="shared" si="2"/>
        <x:v>SDJC 1.5 x5N(E)</x:v>
      </x:c>
      <x:c r="E38" s="20" t="s">
        <x:v>53</x:v>
      </x:c>
      <x:c r="F38" s="18">
        <x:v>60622</x:v>
      </x:c>
      <x:c r="G38" s="18">
        <x:v>61105</x:v>
      </x:c>
      <x:c r="H38" s="21">
        <x:v>0.42152777777777778</x:v>
      </x:c>
      <x:c r="I38" s="20">
        <x:v>6</x:v>
      </x:c>
      <x:c r="J38" s="20">
        <x:v>8</x:v>
      </x:c>
      <x:c r="K38" s="10">
        <x:v>0</x:v>
      </x:c>
      <x:c r="L38" s="10">
        <x:v>0</x:v>
      </x:c>
      <x:c r="M38" s="10">
        <x:v>4</x:v>
      </x:c>
      <x:c r="N38" s="10">
        <x:f t="shared" si="3"/>
        <x:v>4</x:v>
      </x:c>
      <x:c r="O38" s="10">
        <x:v>0</x:v>
      </x:c>
      <x:c r="P38" s="10">
        <x:v>0</x:v>
      </x:c>
      <x:c r="Q38" s="20" t="s">
        <x:v>43</x:v>
      </x:c>
      <x:c r="R38"/>
    </x:row>
    <x:row r="39" s="16" customFormat="1">
      <x:c r="A39"/>
      <x:c r="B39" s="18"/>
      <x:c r="C39" s="18" t="s">
        <x:v>47</x:v>
      </x:c>
      <x:c r="D39" s="19" t="str">
        <x:f t="shared" si="2"/>
        <x:v>SDJC 1.5 x5N(E)</x:v>
      </x:c>
      <x:c r="E39" s="20" t="s">
        <x:v>53</x:v>
      </x:c>
      <x:c r="F39" s="18">
        <x:v>60622</x:v>
      </x:c>
      <x:c r="G39" s="18">
        <x:v>61105</x:v>
      </x:c>
      <x:c r="H39" s="21">
        <x:v>0.42152777777777778</x:v>
      </x:c>
      <x:c r="I39" s="20">
        <x:v>3</x:v>
      </x:c>
      <x:c r="J39" s="20">
        <x:v>9</x:v>
      </x:c>
      <x:c r="K39" s="10">
        <x:v>0</x:v>
      </x:c>
      <x:c r="L39" s="10">
        <x:v>0</x:v>
      </x:c>
      <x:c r="M39" s="10">
        <x:v>1</x:v>
      </x:c>
      <x:c r="N39" s="10">
        <x:f t="shared" si="3"/>
        <x:v>1</x:v>
      </x:c>
      <x:c r="O39" s="10">
        <x:v>0</x:v>
      </x:c>
      <x:c r="P39" s="10">
        <x:v>0</x:v>
      </x:c>
      <x:c r="Q39" s="20" t="s">
        <x:v>43</x:v>
      </x:c>
      <x:c r="R39"/>
    </x:row>
    <x:row r="40" s="16" customFormat="1">
      <x:c r="A40"/>
      <x:c r="B40" s="20"/>
      <x:c r="C40" s="18" t="s">
        <x:v>47</x:v>
      </x:c>
      <x:c r="D40" s="19" t="str">
        <x:f t="shared" si="2"/>
        <x:v>SDJC 1.5 x5N(E)</x:v>
      </x:c>
      <x:c r="E40" s="20" t="s">
        <x:v>53</x:v>
      </x:c>
      <x:c r="F40" s="18">
        <x:v>60622</x:v>
      </x:c>
      <x:c r="G40" s="18">
        <x:v>61105</x:v>
      </x:c>
      <x:c r="H40" s="21">
        <x:v>0.42152777777777778</x:v>
      </x:c>
      <x:c r="I40" s="20">
        <x:v>6</x:v>
      </x:c>
      <x:c r="J40" s="20">
        <x:v>10</x:v>
      </x:c>
      <x:c r="K40" s="10">
        <x:v>0</x:v>
      </x:c>
      <x:c r="L40" s="10">
        <x:v>0</x:v>
      </x:c>
      <x:c r="M40" s="10">
        <x:v>4</x:v>
      </x:c>
      <x:c r="N40" s="10">
        <x:f t="shared" si="3"/>
        <x:v>4</x:v>
      </x:c>
      <x:c r="O40" s="10">
        <x:v>0</x:v>
      </x:c>
      <x:c r="P40" s="10">
        <x:v>0</x:v>
      </x:c>
      <x:c r="Q40" s="20" t="s">
        <x:v>43</x:v>
      </x:c>
      <x:c r="R40"/>
    </x:row>
    <x:row r="41" s="16" customFormat="1">
      <x:c r="A41"/>
      <x:c r="B41" s="20"/>
      <x:c r="C41" s="18" t="s">
        <x:v>47</x:v>
      </x:c>
      <x:c r="D41" s="19" t="str">
        <x:f t="shared" si="2"/>
        <x:v>SDJC 1.5 x5N(E)</x:v>
      </x:c>
      <x:c r="E41" s="20" t="s">
        <x:v>53</x:v>
      </x:c>
      <x:c r="F41" s="18">
        <x:v>60622</x:v>
      </x:c>
      <x:c r="G41" s="18">
        <x:v>61105</x:v>
      </x:c>
      <x:c r="H41" s="21">
        <x:v>0.42152777777777778</x:v>
      </x:c>
      <x:c r="I41" s="20">
        <x:v>3</x:v>
      </x:c>
      <x:c r="J41" s="20">
        <x:v>11</x:v>
      </x:c>
      <x:c r="K41" s="10">
        <x:v>0</x:v>
      </x:c>
      <x:c r="L41" s="10">
        <x:v>0</x:v>
      </x:c>
      <x:c r="M41" s="10">
        <x:v>3</x:v>
      </x:c>
      <x:c r="N41" s="10">
        <x:f t="shared" si="3"/>
        <x:v>3</x:v>
      </x:c>
      <x:c r="O41" s="10">
        <x:v>0</x:v>
      </x:c>
      <x:c r="P41" s="10">
        <x:v>0</x:v>
      </x:c>
      <x:c r="Q41" s="20" t="s">
        <x:v>43</x:v>
      </x:c>
      <x:c r="R41"/>
    </x:row>
    <x:row r="42" s="16" customFormat="1">
      <x:c r="A42"/>
      <x:c r="B42" s="20"/>
      <x:c r="C42" s="18" t="s">
        <x:v>47</x:v>
      </x:c>
      <x:c r="D42" s="19" t="str">
        <x:f t="shared" si="2"/>
        <x:v>SDJC 1.5 x5N(E)</x:v>
      </x:c>
      <x:c r="E42" s="20" t="s">
        <x:v>53</x:v>
      </x:c>
      <x:c r="F42" s="18">
        <x:v>60622</x:v>
      </x:c>
      <x:c r="G42" s="18">
        <x:v>61105</x:v>
      </x:c>
      <x:c r="H42" s="21">
        <x:v>0.42152777777777778</x:v>
      </x:c>
      <x:c r="I42" s="20">
        <x:v>6</x:v>
      </x:c>
      <x:c r="J42" s="20">
        <x:v>12</x:v>
      </x:c>
      <x:c r="K42" s="10">
        <x:v>0</x:v>
      </x:c>
      <x:c r="L42" s="10">
        <x:v>0</x:v>
      </x:c>
      <x:c r="M42" s="10">
        <x:v>2</x:v>
      </x:c>
      <x:c r="N42" s="10">
        <x:f t="shared" si="3"/>
        <x:v>2</x:v>
      </x:c>
      <x:c r="O42" s="10">
        <x:v>0</x:v>
      </x:c>
      <x:c r="P42" s="10">
        <x:v>0</x:v>
      </x:c>
      <x:c r="Q42" s="20" t="s">
        <x:v>43</x:v>
      </x:c>
      <x:c r="R42"/>
    </x:row>
    <x:row r="43" s="16" customFormat="1">
      <x:c r="A43"/>
      <x:c r="B43" s="20"/>
      <x:c r="C43" s="18" t="s">
        <x:v>47</x:v>
      </x:c>
      <x:c r="D43" s="19" t="str">
        <x:f t="shared" si="2"/>
        <x:v>SDJC 1.5 x5N(E)</x:v>
      </x:c>
      <x:c r="E43" s="20" t="s">
        <x:v>53</x:v>
      </x:c>
      <x:c r="F43" s="18">
        <x:v>60622</x:v>
      </x:c>
      <x:c r="G43" s="18">
        <x:v>61105</x:v>
      </x:c>
      <x:c r="H43" s="21">
        <x:v>0.42152777777777778</x:v>
      </x:c>
      <x:c r="I43" s="20">
        <x:v>3</x:v>
      </x:c>
      <x:c r="J43" s="20">
        <x:v>13</x:v>
      </x:c>
      <x:c r="K43" s="10">
        <x:v>0</x:v>
      </x:c>
      <x:c r="L43" s="10">
        <x:v>0</x:v>
      </x:c>
      <x:c r="M43" s="10">
        <x:v>1</x:v>
      </x:c>
      <x:c r="N43" s="10">
        <x:f t="shared" si="3"/>
        <x:v>1</x:v>
      </x:c>
      <x:c r="O43" s="10">
        <x:v>0</x:v>
      </x:c>
      <x:c r="P43" s="10">
        <x:v>0</x:v>
      </x:c>
      <x:c r="Q43" s="20" t="s">
        <x:v>43</x:v>
      </x:c>
      <x:c r="R43"/>
    </x:row>
    <x:row r="44" s="16" customFormat="1">
      <x:c r="A44"/>
      <x:c r="B44" s="20"/>
      <x:c r="C44" s="18" t="s">
        <x:v>47</x:v>
      </x:c>
      <x:c r="D44" s="19" t="str">
        <x:f t="shared" si="2"/>
        <x:v>SDJC 1.5 x5N(E)</x:v>
      </x:c>
      <x:c r="E44" s="20" t="s">
        <x:v>53</x:v>
      </x:c>
      <x:c r="F44" s="18">
        <x:v>60622</x:v>
      </x:c>
      <x:c r="G44" s="18">
        <x:v>61105</x:v>
      </x:c>
      <x:c r="H44" s="21">
        <x:v>0.42152777777777778</x:v>
      </x:c>
      <x:c r="I44" s="20">
        <x:v>6</x:v>
      </x:c>
      <x:c r="J44" s="20">
        <x:v>14</x:v>
      </x:c>
      <x:c r="K44" s="10">
        <x:v>0</x:v>
      </x:c>
      <x:c r="L44" s="10">
        <x:v>0</x:v>
      </x:c>
      <x:c r="M44" s="10">
        <x:v>3</x:v>
      </x:c>
      <x:c r="N44" s="10">
        <x:f t="shared" si="3"/>
        <x:v>3</x:v>
      </x:c>
      <x:c r="O44" s="10">
        <x:v>0</x:v>
      </x:c>
      <x:c r="P44" s="10">
        <x:v>0</x:v>
      </x:c>
      <x:c r="Q44" s="20" t="s">
        <x:v>43</x:v>
      </x:c>
      <x:c r="R44"/>
    </x:row>
    <x:row r="45" s="16" customFormat="1">
      <x:c r="A45"/>
      <x:c r="B45" s="20"/>
      <x:c r="C45" s="18" t="s">
        <x:v>47</x:v>
      </x:c>
      <x:c r="D45" s="19" t="str">
        <x:f t="shared" si="2"/>
        <x:v>SDJC 1.5 x5N(E)</x:v>
      </x:c>
      <x:c r="E45" s="20" t="s">
        <x:v>53</x:v>
      </x:c>
      <x:c r="F45" s="18">
        <x:v>60622</x:v>
      </x:c>
      <x:c r="G45" s="18">
        <x:v>61105</x:v>
      </x:c>
      <x:c r="H45" s="21">
        <x:v>0.42152777777777778</x:v>
      </x:c>
      <x:c r="I45" s="20">
        <x:v>3</x:v>
      </x:c>
      <x:c r="J45" s="20">
        <x:v>15</x:v>
      </x:c>
      <x:c r="K45" s="10">
        <x:v>0</x:v>
      </x:c>
      <x:c r="L45" s="10">
        <x:v>0</x:v>
      </x:c>
      <x:c r="M45" s="10">
        <x:v>6</x:v>
      </x:c>
      <x:c r="N45" s="10">
        <x:f t="shared" si="3"/>
        <x:v>6</x:v>
      </x:c>
      <x:c r="O45" s="10">
        <x:v>1</x:v>
      </x:c>
      <x:c r="P45" s="10">
        <x:v>0</x:v>
      </x:c>
      <x:c r="Q45" s="20" t="s">
        <x:v>43</x:v>
      </x:c>
      <x:c r="R45"/>
    </x:row>
    <x:row r="46" s="16" customFormat="1">
      <x:c r="A46"/>
      <x:c r="F46" s="22"/>
      <x:c r="H46" s="23"/>
      <x:c r="I46" s="23"/>
      <x:c r="J46" s="23"/>
      <x:c r="K46" s="24"/>
      <x:c r="L46" s="24"/>
      <x:c r="M46" s="24"/>
      <x:c r="N46" s="24"/>
      <x:c r="O46" s="24"/>
      <x:c r="P46" s="24"/>
      <x:c r="R46"/>
    </x:row>
    <x:row r="47" s="16" customFormat="1">
      <x:c r="A47"/>
      <x:c r="F47" s="22"/>
      <x:c r="H47" s="23"/>
      <x:c r="I47" s="23"/>
      <x:c r="J47" s="23"/>
      <x:c r="K47" s="24"/>
      <x:c r="L47" s="24"/>
      <x:c r="M47" s="24"/>
      <x:c r="N47" s="24"/>
      <x:c r="O47" s="24"/>
      <x:c r="P47" s="24"/>
      <x:c r="R47"/>
    </x:row>
    <x:row r="48" s="16" customFormat="1">
      <x:c r="A48"/>
      <x:c r="F48" s="22"/>
      <x:c r="H48" s="23"/>
      <x:c r="I48" s="23"/>
      <x:c r="J48" s="23"/>
      <x:c r="K48" s="24"/>
      <x:c r="L48" s="24"/>
      <x:c r="M48" s="24"/>
      <x:c r="N48" s="24"/>
      <x:c r="O48" s="24"/>
      <x:c r="P48" s="24"/>
      <x:c r="R48"/>
    </x:row>
    <x:row r="49" s="16" customFormat="1" ht="14.550000190734863" customHeight="1">
      <x:c r="A49"/>
      <x:c r="B49" s="57" t="s">
        <x:v>20</x:v>
      </x:c>
      <x:c r="C49" s="57" t="s">
        <x:v>21</x:v>
      </x:c>
      <x:c r="D49" s="56" t="s">
        <x:v>22</x:v>
      </x:c>
      <x:c r="E49" s="9" t="s">
        <x:v>23</x:v>
      </x:c>
      <x:c r="F49" s="14" t="s">
        <x:v>24</x:v>
      </x:c>
      <x:c r="G49" s="9" t="s">
        <x:v>24</x:v>
      </x:c>
      <x:c r="H49" s="58" t="s">
        <x:v>25</x:v>
      </x:c>
      <x:c r="I49" s="15"/>
      <x:c r="J49" s="15"/>
      <x:c r="K49" s="59" t="s">
        <x:v>26</x:v>
      </x:c>
      <x:c r="L49" s="59"/>
      <x:c r="M49" s="59"/>
      <x:c r="N49" s="59"/>
      <x:c r="O49" s="59"/>
      <x:c r="P49" s="59"/>
      <x:c r="Q49" s="56" t="s">
        <x:v>27</x:v>
      </x:c>
      <x:c r="R49"/>
    </x:row>
    <x:row r="50" s="16" customFormat="1" ht="28.799999237060547">
      <x:c r="A50"/>
      <x:c r="B50" s="56"/>
      <x:c r="C50" s="56"/>
      <x:c r="D50" s="56"/>
      <x:c r="E50" s="7" t="s">
        <x:v>28</x:v>
      </x:c>
      <x:c r="F50" s="8" t="s">
        <x:v>29</x:v>
      </x:c>
      <x:c r="G50" s="8" t="s">
        <x:v>30</x:v>
      </x:c>
      <x:c r="H50" s="58"/>
      <x:c r="I50" s="15" t="s">
        <x:v>31</x:v>
      </x:c>
      <x:c r="J50" s="15" t="s">
        <x:v>32</x:v>
      </x:c>
      <x:c r="K50" s="17" t="s">
        <x:v>33</x:v>
      </x:c>
      <x:c r="L50" s="17" t="s">
        <x:v>34</x:v>
      </x:c>
      <x:c r="M50" s="17" t="s">
        <x:v>35</x:v>
      </x:c>
      <x:c r="N50" s="17" t="s">
        <x:v>36</x:v>
      </x:c>
      <x:c r="O50" s="17" t="s">
        <x:v>10</x:v>
      </x:c>
      <x:c r="P50" s="17" t="s">
        <x:v>37</x:v>
      </x:c>
      <x:c r="Q50" s="56"/>
      <x:c r="R50"/>
    </x:row>
    <x:row r="51" s="16" customFormat="1">
      <x:c r="A51"/>
      <x:c r="B51" s="18" t="s">
        <x:v>38</x:v>
      </x:c>
      <x:c r="C51" s="18" t="s">
        <x:v>47</x:v>
      </x:c>
      <x:c r="D51" s="19" t="str">
        <x:f t="shared" ref="D51:D65" si="4">$B$1</x:f>
        <x:v>SDJC 1.5 x5N(E)</x:v>
      </x:c>
      <x:c r="E51" s="20" t="s">
        <x:v>53</x:v>
      </x:c>
      <x:c r="F51" s="18">
        <x:v>60622</x:v>
      </x:c>
      <x:c r="G51" s="18">
        <x:v>61105</x:v>
      </x:c>
      <x:c r="H51" s="21">
        <x:v>0.42152777777777778</x:v>
      </x:c>
      <x:c r="I51" s="20">
        <x:v>6</x:v>
      </x:c>
      <x:c r="J51" s="20">
        <x:v>1</x:v>
      </x:c>
      <x:c r="K51" s="10">
        <x:v>0</x:v>
      </x:c>
      <x:c r="L51" s="10">
        <x:v>0</x:v>
      </x:c>
      <x:c r="M51" s="10">
        <x:v>3</x:v>
      </x:c>
      <x:c r="N51" s="10" t="n">
        <x:f>L51+M51</x:f>
        <x:v>3</x:v>
      </x:c>
      <x:c r="O51" s="10">
        <x:v>1</x:v>
      </x:c>
      <x:c r="P51" s="10">
        <x:v>0</x:v>
      </x:c>
      <x:c r="Q51" s="20" t="s">
        <x:v>44</x:v>
      </x:c>
      <x:c r="R51"/>
    </x:row>
    <x:row r="52" s="16" customFormat="1">
      <x:c r="A52"/>
      <x:c r="B52" s="18"/>
      <x:c r="C52" s="18" t="s">
        <x:v>47</x:v>
      </x:c>
      <x:c r="D52" s="19" t="str">
        <x:f t="shared" si="4"/>
        <x:v>SDJC 1.5 x5N(E)</x:v>
      </x:c>
      <x:c r="E52" s="20" t="s">
        <x:v>53</x:v>
      </x:c>
      <x:c r="F52" s="18">
        <x:v>60622</x:v>
      </x:c>
      <x:c r="G52" s="18">
        <x:v>61105</x:v>
      </x:c>
      <x:c r="H52" s="21">
        <x:v>0.42152777777777778</x:v>
      </x:c>
      <x:c r="I52" s="20">
        <x:v>3</x:v>
      </x:c>
      <x:c r="J52" s="20">
        <x:v>2</x:v>
      </x:c>
      <x:c r="K52" s="10">
        <x:v>0</x:v>
      </x:c>
      <x:c r="L52" s="10">
        <x:v>0</x:v>
      </x:c>
      <x:c r="M52" s="10">
        <x:v>3</x:v>
      </x:c>
      <x:c r="N52" s="10" t="n">
        <x:f>L52+M52</x:f>
        <x:v>3</x:v>
      </x:c>
      <x:c r="O52" s="10">
        <x:v>0</x:v>
      </x:c>
      <x:c r="P52" s="10">
        <x:v>0</x:v>
      </x:c>
      <x:c r="Q52" s="20" t="s">
        <x:v>44</x:v>
      </x:c>
      <x:c r="R52"/>
    </x:row>
    <x:row r="53" s="16" customFormat="1">
      <x:c r="A53"/>
      <x:c r="B53" s="18"/>
      <x:c r="C53" s="18" t="s">
        <x:v>47</x:v>
      </x:c>
      <x:c r="D53" s="19" t="str">
        <x:f t="shared" si="4"/>
        <x:v>SDJC 1.5 x5N(E)</x:v>
      </x:c>
      <x:c r="E53" s="20" t="s">
        <x:v>53</x:v>
      </x:c>
      <x:c r="F53" s="18">
        <x:v>60622</x:v>
      </x:c>
      <x:c r="G53" s="18">
        <x:v>61105</x:v>
      </x:c>
      <x:c r="H53" s="21">
        <x:v>0.42152777777777778</x:v>
      </x:c>
      <x:c r="I53" s="20">
        <x:v>6</x:v>
      </x:c>
      <x:c r="J53" s="20">
        <x:v>3</x:v>
      </x:c>
      <x:c r="K53" s="10">
        <x:v>0</x:v>
      </x:c>
      <x:c r="L53" s="10">
        <x:v>0</x:v>
      </x:c>
      <x:c r="M53" s="10">
        <x:v>1</x:v>
      </x:c>
      <x:c r="N53" s="10" t="n">
        <x:f t="shared" ref="N53:N65" si="5">L53+M53</x:f>
        <x:v>1</x:v>
      </x:c>
      <x:c r="O53" s="10">
        <x:v>0</x:v>
      </x:c>
      <x:c r="P53" s="10">
        <x:v>0</x:v>
      </x:c>
      <x:c r="Q53" s="20" t="s">
        <x:v>44</x:v>
      </x:c>
      <x:c r="R53"/>
    </x:row>
    <x:row r="54" s="16" customFormat="1">
      <x:c r="A54"/>
      <x:c r="B54" s="20"/>
      <x:c r="C54" s="18" t="s">
        <x:v>47</x:v>
      </x:c>
      <x:c r="D54" s="19" t="str">
        <x:f t="shared" si="4"/>
        <x:v>SDJC 1.5 x5N(E)</x:v>
      </x:c>
      <x:c r="E54" s="20" t="s">
        <x:v>53</x:v>
      </x:c>
      <x:c r="F54" s="18">
        <x:v>60622</x:v>
      </x:c>
      <x:c r="G54" s="18">
        <x:v>61105</x:v>
      </x:c>
      <x:c r="H54" s="21">
        <x:v>0.42152777777777778</x:v>
      </x:c>
      <x:c r="I54" s="20">
        <x:v>3</x:v>
      </x:c>
      <x:c r="J54" s="20">
        <x:v>4</x:v>
      </x:c>
      <x:c r="K54" s="10">
        <x:v>0</x:v>
      </x:c>
      <x:c r="L54" s="10">
        <x:v>0</x:v>
      </x:c>
      <x:c r="M54" s="10">
        <x:v>0</x:v>
      </x:c>
      <x:c r="N54" s="10">
        <x:f t="shared" si="5"/>
        <x:v>0</x:v>
      </x:c>
      <x:c r="O54" s="10">
        <x:v>0</x:v>
      </x:c>
      <x:c r="P54" s="10">
        <x:v>0</x:v>
      </x:c>
      <x:c r="Q54" s="20" t="s">
        <x:v>44</x:v>
      </x:c>
      <x:c r="R54"/>
    </x:row>
    <x:row r="55" s="16" customFormat="1">
      <x:c r="A55"/>
      <x:c r="B55" s="20"/>
      <x:c r="C55" s="18" t="s">
        <x:v>47</x:v>
      </x:c>
      <x:c r="D55" s="19" t="str">
        <x:f t="shared" si="4"/>
        <x:v>SDJC 1.5 x5N(E)</x:v>
      </x:c>
      <x:c r="E55" s="20" t="s">
        <x:v>53</x:v>
      </x:c>
      <x:c r="F55" s="18">
        <x:v>60622</x:v>
      </x:c>
      <x:c r="G55" s="18">
        <x:v>61105</x:v>
      </x:c>
      <x:c r="H55" s="21">
        <x:v>0.42152777777777778</x:v>
      </x:c>
      <x:c r="I55" s="20">
        <x:v>6</x:v>
      </x:c>
      <x:c r="J55" s="20">
        <x:v>5</x:v>
      </x:c>
      <x:c r="K55" s="10">
        <x:v>0</x:v>
      </x:c>
      <x:c r="L55" s="10">
        <x:v>0</x:v>
      </x:c>
      <x:c r="M55" s="10">
        <x:v>3</x:v>
      </x:c>
      <x:c r="N55" s="10">
        <x:f t="shared" si="5"/>
        <x:v>3</x:v>
      </x:c>
      <x:c r="O55" s="10">
        <x:v>0</x:v>
      </x:c>
      <x:c r="P55" s="10">
        <x:v>0</x:v>
      </x:c>
      <x:c r="Q55" s="20" t="s">
        <x:v>44</x:v>
      </x:c>
      <x:c r="R55"/>
    </x:row>
    <x:row r="56" s="16" customFormat="1">
      <x:c r="A56"/>
      <x:c r="B56" s="20"/>
      <x:c r="C56" s="18" t="s">
        <x:v>47</x:v>
      </x:c>
      <x:c r="D56" s="19" t="str">
        <x:f t="shared" si="4"/>
        <x:v>SDJC 1.5 x5N(E)</x:v>
      </x:c>
      <x:c r="E56" s="20" t="s">
        <x:v>53</x:v>
      </x:c>
      <x:c r="F56" s="18">
        <x:v>60622</x:v>
      </x:c>
      <x:c r="G56" s="18">
        <x:v>61105</x:v>
      </x:c>
      <x:c r="H56" s="21">
        <x:v>0.42152777777777778</x:v>
      </x:c>
      <x:c r="I56" s="20">
        <x:v>3</x:v>
      </x:c>
      <x:c r="J56" s="20">
        <x:v>6</x:v>
      </x:c>
      <x:c r="K56" s="10">
        <x:v>0</x:v>
      </x:c>
      <x:c r="L56" s="10">
        <x:v>0</x:v>
      </x:c>
      <x:c r="M56" s="10">
        <x:v>1</x:v>
      </x:c>
      <x:c r="N56" s="10">
        <x:f t="shared" si="5"/>
        <x:v>1</x:v>
      </x:c>
      <x:c r="O56" s="10">
        <x:v>0</x:v>
      </x:c>
      <x:c r="P56" s="10">
        <x:v>0</x:v>
      </x:c>
      <x:c r="Q56" s="20" t="s">
        <x:v>44</x:v>
      </x:c>
      <x:c r="R56"/>
    </x:row>
    <x:row r="57" s="16" customFormat="1">
      <x:c r="A57"/>
      <x:c r="B57" s="18"/>
      <x:c r="C57" s="18" t="s">
        <x:v>47</x:v>
      </x:c>
      <x:c r="D57" s="19" t="str">
        <x:f t="shared" si="4"/>
        <x:v>SDJC 1.5 x5N(E)</x:v>
      </x:c>
      <x:c r="E57" s="20" t="s">
        <x:v>53</x:v>
      </x:c>
      <x:c r="F57" s="18">
        <x:v>60622</x:v>
      </x:c>
      <x:c r="G57" s="18">
        <x:v>61105</x:v>
      </x:c>
      <x:c r="H57" s="21">
        <x:v>0.42152777777777778</x:v>
      </x:c>
      <x:c r="I57" s="20">
        <x:v>6</x:v>
      </x:c>
      <x:c r="J57" s="20">
        <x:v>7</x:v>
      </x:c>
      <x:c r="K57" s="10">
        <x:v>0</x:v>
      </x:c>
      <x:c r="L57" s="10">
        <x:v>0</x:v>
      </x:c>
      <x:c r="M57" s="10">
        <x:v>3</x:v>
      </x:c>
      <x:c r="N57" s="10">
        <x:f t="shared" si="5"/>
        <x:v>3</x:v>
      </x:c>
      <x:c r="O57" s="10">
        <x:v>0</x:v>
      </x:c>
      <x:c r="P57" s="10">
        <x:v>0</x:v>
      </x:c>
      <x:c r="Q57" s="20" t="s">
        <x:v>44</x:v>
      </x:c>
      <x:c r="R57"/>
    </x:row>
    <x:row r="58" s="16" customFormat="1">
      <x:c r="A58"/>
      <x:c r="B58" s="18"/>
      <x:c r="C58" s="18" t="s">
        <x:v>47</x:v>
      </x:c>
      <x:c r="D58" s="19" t="str">
        <x:f t="shared" si="4"/>
        <x:v>SDJC 1.5 x5N(E)</x:v>
      </x:c>
      <x:c r="E58" s="20" t="s">
        <x:v>53</x:v>
      </x:c>
      <x:c r="F58" s="18">
        <x:v>60622</x:v>
      </x:c>
      <x:c r="G58" s="18">
        <x:v>61105</x:v>
      </x:c>
      <x:c r="H58" s="21">
        <x:v>0.42152777777777778</x:v>
      </x:c>
      <x:c r="I58" s="20">
        <x:v>3</x:v>
      </x:c>
      <x:c r="J58" s="20">
        <x:v>8</x:v>
      </x:c>
      <x:c r="K58" s="10">
        <x:v>0</x:v>
      </x:c>
      <x:c r="L58" s="10">
        <x:v>0</x:v>
      </x:c>
      <x:c r="M58" s="10">
        <x:v>3</x:v>
      </x:c>
      <x:c r="N58" s="10">
        <x:f t="shared" si="5"/>
        <x:v>3</x:v>
      </x:c>
      <x:c r="O58" s="10">
        <x:v>0</x:v>
      </x:c>
      <x:c r="P58" s="10">
        <x:v>0</x:v>
      </x:c>
      <x:c r="Q58" s="20" t="s">
        <x:v>44</x:v>
      </x:c>
      <x:c r="R58"/>
    </x:row>
    <x:row r="59" s="16" customFormat="1">
      <x:c r="A59"/>
      <x:c r="B59" s="18"/>
      <x:c r="C59" s="18" t="s">
        <x:v>47</x:v>
      </x:c>
      <x:c r="D59" s="19" t="str">
        <x:f t="shared" si="4"/>
        <x:v>SDJC 1.5 x5N(E)</x:v>
      </x:c>
      <x:c r="E59" s="20" t="s">
        <x:v>53</x:v>
      </x:c>
      <x:c r="F59" s="18">
        <x:v>60622</x:v>
      </x:c>
      <x:c r="G59" s="18">
        <x:v>61105</x:v>
      </x:c>
      <x:c r="H59" s="21">
        <x:v>0.42152777777777778</x:v>
      </x:c>
      <x:c r="I59" s="20">
        <x:v>6</x:v>
      </x:c>
      <x:c r="J59" s="20">
        <x:v>9</x:v>
      </x:c>
      <x:c r="K59" s="10">
        <x:v>0</x:v>
      </x:c>
      <x:c r="L59" s="10">
        <x:v>0</x:v>
      </x:c>
      <x:c r="M59" s="10">
        <x:v>4</x:v>
      </x:c>
      <x:c r="N59" s="10">
        <x:f t="shared" si="5"/>
        <x:v>4</x:v>
      </x:c>
      <x:c r="O59" s="10">
        <x:v>0</x:v>
      </x:c>
      <x:c r="P59" s="10">
        <x:v>0</x:v>
      </x:c>
      <x:c r="Q59" s="20" t="s">
        <x:v>44</x:v>
      </x:c>
      <x:c r="R59"/>
    </x:row>
    <x:row r="60" s="16" customFormat="1">
      <x:c r="A60"/>
      <x:c r="B60" s="20"/>
      <x:c r="C60" s="18" t="s">
        <x:v>47</x:v>
      </x:c>
      <x:c r="D60" s="19" t="str">
        <x:f t="shared" si="4"/>
        <x:v>SDJC 1.5 x5N(E)</x:v>
      </x:c>
      <x:c r="E60" s="20" t="s">
        <x:v>53</x:v>
      </x:c>
      <x:c r="F60" s="18">
        <x:v>60622</x:v>
      </x:c>
      <x:c r="G60" s="18">
        <x:v>61105</x:v>
      </x:c>
      <x:c r="H60" s="21">
        <x:v>0.42152777777777778</x:v>
      </x:c>
      <x:c r="I60" s="20">
        <x:v>3</x:v>
      </x:c>
      <x:c r="J60" s="20">
        <x:v>10</x:v>
      </x:c>
      <x:c r="K60" s="10">
        <x:v>0</x:v>
      </x:c>
      <x:c r="L60" s="10">
        <x:v>0</x:v>
      </x:c>
      <x:c r="M60" s="10">
        <x:v>1</x:v>
      </x:c>
      <x:c r="N60" s="10">
        <x:f t="shared" si="5"/>
        <x:v>1</x:v>
      </x:c>
      <x:c r="O60" s="10">
        <x:v>0</x:v>
      </x:c>
      <x:c r="P60" s="10">
        <x:v>0</x:v>
      </x:c>
      <x:c r="Q60" s="20" t="s">
        <x:v>44</x:v>
      </x:c>
      <x:c r="R60"/>
    </x:row>
    <x:row r="61" s="16" customFormat="1">
      <x:c r="A61"/>
      <x:c r="B61" s="20"/>
      <x:c r="C61" s="18" t="s">
        <x:v>47</x:v>
      </x:c>
      <x:c r="D61" s="19" t="str">
        <x:f t="shared" si="4"/>
        <x:v>SDJC 1.5 x5N(E)</x:v>
      </x:c>
      <x:c r="E61" s="20" t="s">
        <x:v>53</x:v>
      </x:c>
      <x:c r="F61" s="18">
        <x:v>60622</x:v>
      </x:c>
      <x:c r="G61" s="18">
        <x:v>61105</x:v>
      </x:c>
      <x:c r="H61" s="21">
        <x:v>0.42152777777777778</x:v>
      </x:c>
      <x:c r="I61" s="20">
        <x:v>6</x:v>
      </x:c>
      <x:c r="J61" s="20">
        <x:v>11</x:v>
      </x:c>
      <x:c r="K61" s="10">
        <x:v>0</x:v>
      </x:c>
      <x:c r="L61" s="10">
        <x:v>0</x:v>
      </x:c>
      <x:c r="M61" s="10">
        <x:v>3</x:v>
      </x:c>
      <x:c r="N61" s="10">
        <x:f t="shared" si="5"/>
        <x:v>3</x:v>
      </x:c>
      <x:c r="O61" s="10">
        <x:v>0</x:v>
      </x:c>
      <x:c r="P61" s="10">
        <x:v>0</x:v>
      </x:c>
      <x:c r="Q61" s="20" t="s">
        <x:v>44</x:v>
      </x:c>
      <x:c r="R61"/>
    </x:row>
    <x:row r="62" s="16" customFormat="1">
      <x:c r="A62"/>
      <x:c r="B62" s="20"/>
      <x:c r="C62" s="18" t="s">
        <x:v>47</x:v>
      </x:c>
      <x:c r="D62" s="19" t="str">
        <x:f t="shared" si="4"/>
        <x:v>SDJC 1.5 x5N(E)</x:v>
      </x:c>
      <x:c r="E62" s="20" t="s">
        <x:v>53</x:v>
      </x:c>
      <x:c r="F62" s="18">
        <x:v>60622</x:v>
      </x:c>
      <x:c r="G62" s="18">
        <x:v>61105</x:v>
      </x:c>
      <x:c r="H62" s="21">
        <x:v>0.42152777777777778</x:v>
      </x:c>
      <x:c r="I62" s="20">
        <x:v>3</x:v>
      </x:c>
      <x:c r="J62" s="20">
        <x:v>12</x:v>
      </x:c>
      <x:c r="K62" s="10">
        <x:v>0</x:v>
      </x:c>
      <x:c r="L62" s="10">
        <x:v>0</x:v>
      </x:c>
      <x:c r="M62" s="10">
        <x:v>3</x:v>
      </x:c>
      <x:c r="N62" s="10">
        <x:f t="shared" si="5"/>
        <x:v>3</x:v>
      </x:c>
      <x:c r="O62" s="10">
        <x:v>0</x:v>
      </x:c>
      <x:c r="P62" s="10">
        <x:v>0</x:v>
      </x:c>
      <x:c r="Q62" s="20" t="s">
        <x:v>44</x:v>
      </x:c>
      <x:c r="R62"/>
    </x:row>
    <x:row r="63" s="16" customFormat="1">
      <x:c r="A63"/>
      <x:c r="B63" s="20"/>
      <x:c r="C63" s="18" t="s">
        <x:v>47</x:v>
      </x:c>
      <x:c r="D63" s="19" t="str">
        <x:f t="shared" si="4"/>
        <x:v>SDJC 1.5 x5N(E)</x:v>
      </x:c>
      <x:c r="E63" s="20" t="s">
        <x:v>53</x:v>
      </x:c>
      <x:c r="F63" s="18">
        <x:v>60622</x:v>
      </x:c>
      <x:c r="G63" s="18">
        <x:v>61105</x:v>
      </x:c>
      <x:c r="H63" s="21">
        <x:v>0.42152777777777778</x:v>
      </x:c>
      <x:c r="I63" s="20">
        <x:v>6</x:v>
      </x:c>
      <x:c r="J63" s="20">
        <x:v>13</x:v>
      </x:c>
      <x:c r="K63" s="10">
        <x:v>0</x:v>
      </x:c>
      <x:c r="L63" s="10">
        <x:v>0</x:v>
      </x:c>
      <x:c r="M63" s="10">
        <x:v>4</x:v>
      </x:c>
      <x:c r="N63" s="10">
        <x:f t="shared" si="5"/>
        <x:v>4</x:v>
      </x:c>
      <x:c r="O63" s="10">
        <x:v>0</x:v>
      </x:c>
      <x:c r="P63" s="10">
        <x:v>0</x:v>
      </x:c>
      <x:c r="Q63" s="20" t="s">
        <x:v>44</x:v>
      </x:c>
      <x:c r="R63"/>
    </x:row>
    <x:row r="64" s="16" customFormat="1">
      <x:c r="A64"/>
      <x:c r="B64" s="20"/>
      <x:c r="C64" s="18" t="s">
        <x:v>47</x:v>
      </x:c>
      <x:c r="D64" s="19" t="str">
        <x:f t="shared" si="4"/>
        <x:v>SDJC 1.5 x5N(E)</x:v>
      </x:c>
      <x:c r="E64" s="20" t="s">
        <x:v>53</x:v>
      </x:c>
      <x:c r="F64" s="18">
        <x:v>60622</x:v>
      </x:c>
      <x:c r="G64" s="18">
        <x:v>61105</x:v>
      </x:c>
      <x:c r="H64" s="21">
        <x:v>0.42152777777777778</x:v>
      </x:c>
      <x:c r="I64" s="20">
        <x:v>3</x:v>
      </x:c>
      <x:c r="J64" s="20">
        <x:v>14</x:v>
      </x:c>
      <x:c r="K64" s="10">
        <x:v>0</x:v>
      </x:c>
      <x:c r="L64" s="10">
        <x:v>0</x:v>
      </x:c>
      <x:c r="M64" s="10">
        <x:v>4</x:v>
      </x:c>
      <x:c r="N64" s="10">
        <x:f t="shared" si="5"/>
        <x:v>4</x:v>
      </x:c>
      <x:c r="O64" s="10">
        <x:v>0</x:v>
      </x:c>
      <x:c r="P64" s="10">
        <x:v>0</x:v>
      </x:c>
      <x:c r="Q64" s="20" t="s">
        <x:v>44</x:v>
      </x:c>
      <x:c r="R64"/>
    </x:row>
    <x:row r="65" s="16" customFormat="1">
      <x:c r="A65"/>
      <x:c r="B65" s="20"/>
      <x:c r="C65" s="18" t="s">
        <x:v>47</x:v>
      </x:c>
      <x:c r="D65" s="19" t="str">
        <x:f t="shared" si="4"/>
        <x:v>SDJC 1.5 x5N(E)</x:v>
      </x:c>
      <x:c r="E65" s="20" t="s">
        <x:v>53</x:v>
      </x:c>
      <x:c r="F65" s="18">
        <x:v>60622</x:v>
      </x:c>
      <x:c r="G65" s="18">
        <x:v>61105</x:v>
      </x:c>
      <x:c r="H65" s="21">
        <x:v>0.42152777777777778</x:v>
      </x:c>
      <x:c r="I65" s="20">
        <x:v>6</x:v>
      </x:c>
      <x:c r="J65" s="20">
        <x:v>15</x:v>
      </x:c>
      <x:c r="K65" s="10">
        <x:v>0</x:v>
      </x:c>
      <x:c r="L65" s="10">
        <x:v>0</x:v>
      </x:c>
      <x:c r="M65" s="10">
        <x:v>1</x:v>
      </x:c>
      <x:c r="N65" s="10">
        <x:f t="shared" si="5"/>
        <x:v>1</x:v>
      </x:c>
      <x:c r="O65" s="10">
        <x:v>0</x:v>
      </x:c>
      <x:c r="P65" s="10">
        <x:v>0</x:v>
      </x:c>
      <x:c r="Q65" s="20" t="s">
        <x:v>44</x:v>
      </x:c>
      <x:c r="R65"/>
    </x:row>
    <x:row r="66" s="16" customFormat="1">
      <x:c r="A66"/>
      <x:c r="F66" s="22"/>
      <x:c r="H66" s="23"/>
      <x:c r="I66" s="23"/>
      <x:c r="J66" s="23"/>
      <x:c r="K66" s="24"/>
      <x:c r="L66" s="24"/>
      <x:c r="M66" s="24"/>
      <x:c r="N66" s="24"/>
      <x:c r="O66" s="24"/>
      <x:c r="P66" s="24"/>
      <x:c r="R66"/>
    </x:row>
    <x:row r="67" s="16" customFormat="1">
      <x:c r="A67"/>
      <x:c r="F67" s="22"/>
      <x:c r="H67" s="23"/>
      <x:c r="I67" s="23"/>
      <x:c r="J67" s="23"/>
      <x:c r="K67" s="24"/>
      <x:c r="L67" s="24"/>
      <x:c r="M67" s="24"/>
      <x:c r="N67" s="24"/>
      <x:c r="O67" s="24"/>
      <x:c r="P67" s="24"/>
      <x:c r="R67"/>
    </x:row>
    <x:row r="68" s="16" customFormat="1">
      <x:c r="A68"/>
      <x:c r="B68" s="57" t="s">
        <x:v>20</x:v>
      </x:c>
      <x:c r="C68" s="57" t="s">
        <x:v>21</x:v>
      </x:c>
      <x:c r="D68" s="56" t="s">
        <x:v>22</x:v>
      </x:c>
      <x:c r="E68" s="9" t="s">
        <x:v>23</x:v>
      </x:c>
      <x:c r="F68" s="14" t="s">
        <x:v>24</x:v>
      </x:c>
      <x:c r="G68" s="9" t="s">
        <x:v>24</x:v>
      </x:c>
      <x:c r="H68" s="58" t="s">
        <x:v>25</x:v>
      </x:c>
      <x:c r="I68" s="15"/>
      <x:c r="J68" s="15"/>
      <x:c r="K68" s="59" t="s">
        <x:v>26</x:v>
      </x:c>
      <x:c r="L68" s="59"/>
      <x:c r="M68" s="59"/>
      <x:c r="N68" s="59"/>
      <x:c r="O68" s="59"/>
      <x:c r="P68" s="59"/>
      <x:c r="Q68" s="56" t="s">
        <x:v>27</x:v>
      </x:c>
      <x:c r="R68"/>
    </x:row>
    <x:row r="69" s="16" customFormat="1" ht="28.799999237060547">
      <x:c r="A69"/>
      <x:c r="B69" s="56"/>
      <x:c r="C69" s="56"/>
      <x:c r="D69" s="56"/>
      <x:c r="E69" s="7" t="s">
        <x:v>28</x:v>
      </x:c>
      <x:c r="F69" s="8" t="s">
        <x:v>29</x:v>
      </x:c>
      <x:c r="G69" s="8" t="s">
        <x:v>30</x:v>
      </x:c>
      <x:c r="H69" s="58"/>
      <x:c r="I69" s="15" t="s">
        <x:v>31</x:v>
      </x:c>
      <x:c r="J69" s="15" t="s">
        <x:v>32</x:v>
      </x:c>
      <x:c r="K69" s="17" t="s">
        <x:v>33</x:v>
      </x:c>
      <x:c r="L69" s="17" t="s">
        <x:v>34</x:v>
      </x:c>
      <x:c r="M69" s="17" t="s">
        <x:v>35</x:v>
      </x:c>
      <x:c r="N69" s="17" t="s">
        <x:v>36</x:v>
      </x:c>
      <x:c r="O69" s="17" t="s">
        <x:v>10</x:v>
      </x:c>
      <x:c r="P69" s="17" t="s">
        <x:v>37</x:v>
      </x:c>
      <x:c r="Q69" s="56"/>
      <x:c r="R69"/>
    </x:row>
    <x:row r="70" s="16" customFormat="1">
      <x:c r="A70"/>
      <x:c r="B70" s="18" t="s">
        <x:v>38</x:v>
      </x:c>
      <x:c r="C70" s="18" t="s">
        <x:v>47</x:v>
      </x:c>
      <x:c r="D70" s="19" t="str">
        <x:f t="shared" ref="D70:D84" si="6">$B$1</x:f>
        <x:v>SDJC 1.5 x5N(E)</x:v>
      </x:c>
      <x:c r="E70" s="20" t="s">
        <x:v>53</x:v>
      </x:c>
      <x:c r="F70" s="18">
        <x:v>60622</x:v>
      </x:c>
      <x:c r="G70" s="18">
        <x:v>61105</x:v>
      </x:c>
      <x:c r="H70" s="21">
        <x:v>0.42152777777777778</x:v>
      </x:c>
      <x:c r="I70" s="20">
        <x:v>3</x:v>
      </x:c>
      <x:c r="J70" s="20">
        <x:v>1</x:v>
      </x:c>
      <x:c r="K70" s="10">
        <x:v>0</x:v>
      </x:c>
      <x:c r="L70" s="10">
        <x:v>0</x:v>
      </x:c>
      <x:c r="M70" s="10">
        <x:v>1</x:v>
      </x:c>
      <x:c r="N70" s="10">
        <x:v>1</x:v>
      </x:c>
      <x:c r="O70" s="10">
        <x:v>0</x:v>
      </x:c>
      <x:c r="P70" s="10">
        <x:v>0</x:v>
      </x:c>
      <x:c r="Q70" s="20" t="s">
        <x:v>45</x:v>
      </x:c>
      <x:c r="R70"/>
    </x:row>
    <x:row r="71" s="16" customFormat="1">
      <x:c r="A71"/>
      <x:c r="B71" s="18"/>
      <x:c r="C71" s="18" t="s">
        <x:v>47</x:v>
      </x:c>
      <x:c r="D71" s="19" t="str">
        <x:f t="shared" si="6"/>
        <x:v>SDJC 1.5 x5N(E)</x:v>
      </x:c>
      <x:c r="E71" s="20" t="s">
        <x:v>53</x:v>
      </x:c>
      <x:c r="F71" s="18">
        <x:v>60622</x:v>
      </x:c>
      <x:c r="G71" s="18">
        <x:v>61105</x:v>
      </x:c>
      <x:c r="H71" s="21">
        <x:v>0.42152777777777778</x:v>
      </x:c>
      <x:c r="I71" s="20">
        <x:v>6</x:v>
      </x:c>
      <x:c r="J71" s="20">
        <x:v>2</x:v>
      </x:c>
      <x:c r="K71" s="10">
        <x:v>0</x:v>
      </x:c>
      <x:c r="L71" s="10">
        <x:v>0</x:v>
      </x:c>
      <x:c r="M71" s="10">
        <x:v>0</x:v>
      </x:c>
      <x:c r="N71" s="10">
        <x:v>0</x:v>
      </x:c>
      <x:c r="O71" s="10">
        <x:v>0</x:v>
      </x:c>
      <x:c r="P71" s="10">
        <x:v>0</x:v>
      </x:c>
      <x:c r="Q71" s="20" t="s">
        <x:v>45</x:v>
      </x:c>
      <x:c r="R71"/>
    </x:row>
    <x:row r="72" s="16" customFormat="1">
      <x:c r="A72"/>
      <x:c r="B72" s="18"/>
      <x:c r="C72" s="18" t="s">
        <x:v>47</x:v>
      </x:c>
      <x:c r="D72" s="19" t="str">
        <x:f t="shared" si="6"/>
        <x:v>SDJC 1.5 x5N(E)</x:v>
      </x:c>
      <x:c r="E72" s="20" t="s">
        <x:v>53</x:v>
      </x:c>
      <x:c r="F72" s="18">
        <x:v>60622</x:v>
      </x:c>
      <x:c r="G72" s="18">
        <x:v>61105</x:v>
      </x:c>
      <x:c r="H72" s="21">
        <x:v>0.42152777777777778</x:v>
      </x:c>
      <x:c r="I72" s="20">
        <x:v>3</x:v>
      </x:c>
      <x:c r="J72" s="20">
        <x:v>3</x:v>
      </x:c>
      <x:c r="K72" s="10">
        <x:v>0</x:v>
      </x:c>
      <x:c r="L72" s="10">
        <x:v>0</x:v>
      </x:c>
      <x:c r="M72" s="10">
        <x:v>0</x:v>
      </x:c>
      <x:c r="N72" s="10">
        <x:v>0</x:v>
      </x:c>
      <x:c r="O72" s="10">
        <x:v>0</x:v>
      </x:c>
      <x:c r="P72" s="10">
        <x:v>0</x:v>
      </x:c>
      <x:c r="Q72" s="20" t="s">
        <x:v>45</x:v>
      </x:c>
      <x:c r="R72"/>
    </x:row>
    <x:row r="73" s="16" customFormat="1">
      <x:c r="A73"/>
      <x:c r="B73" s="20"/>
      <x:c r="C73" s="18" t="s">
        <x:v>47</x:v>
      </x:c>
      <x:c r="D73" s="19" t="str">
        <x:f t="shared" si="6"/>
        <x:v>SDJC 1.5 x5N(E)</x:v>
      </x:c>
      <x:c r="E73" s="20" t="s">
        <x:v>53</x:v>
      </x:c>
      <x:c r="F73" s="18">
        <x:v>60622</x:v>
      </x:c>
      <x:c r="G73" s="18">
        <x:v>61105</x:v>
      </x:c>
      <x:c r="H73" s="21">
        <x:v>0.42152777777777778</x:v>
      </x:c>
      <x:c r="I73" s="20">
        <x:v>6</x:v>
      </x:c>
      <x:c r="J73" s="20">
        <x:v>4</x:v>
      </x:c>
      <x:c r="K73" s="10">
        <x:v>0</x:v>
      </x:c>
      <x:c r="L73" s="10">
        <x:v>0</x:v>
      </x:c>
      <x:c r="M73" s="10">
        <x:v>1</x:v>
      </x:c>
      <x:c r="N73" s="10">
        <x:v>1</x:v>
      </x:c>
      <x:c r="O73" s="10">
        <x:v>0</x:v>
      </x:c>
      <x:c r="P73" s="10">
        <x:v>0</x:v>
      </x:c>
      <x:c r="Q73" s="20" t="s">
        <x:v>45</x:v>
      </x:c>
      <x:c r="R73"/>
    </x:row>
    <x:row r="74" s="16" customFormat="1">
      <x:c r="A74"/>
      <x:c r="B74" s="20"/>
      <x:c r="C74" s="18" t="s">
        <x:v>47</x:v>
      </x:c>
      <x:c r="D74" s="19" t="str">
        <x:f t="shared" si="6"/>
        <x:v>SDJC 1.5 x5N(E)</x:v>
      </x:c>
      <x:c r="E74" s="20" t="s">
        <x:v>53</x:v>
      </x:c>
      <x:c r="F74" s="18">
        <x:v>60622</x:v>
      </x:c>
      <x:c r="G74" s="18">
        <x:v>61105</x:v>
      </x:c>
      <x:c r="H74" s="21">
        <x:v>0.42152777777777778</x:v>
      </x:c>
      <x:c r="I74" s="20">
        <x:v>3</x:v>
      </x:c>
      <x:c r="J74" s="20">
        <x:v>5</x:v>
      </x:c>
      <x:c r="K74" s="10">
        <x:v>0</x:v>
      </x:c>
      <x:c r="L74" s="10">
        <x:v>0</x:v>
      </x:c>
      <x:c r="M74" s="10">
        <x:v>0</x:v>
      </x:c>
      <x:c r="N74" s="10">
        <x:v>0</x:v>
      </x:c>
      <x:c r="O74" s="10">
        <x:v>0</x:v>
      </x:c>
      <x:c r="P74" s="10">
        <x:v>0</x:v>
      </x:c>
      <x:c r="Q74" s="20" t="s">
        <x:v>45</x:v>
      </x:c>
      <x:c r="R74"/>
    </x:row>
    <x:row r="75" s="16" customFormat="1">
      <x:c r="A75"/>
      <x:c r="B75" s="20"/>
      <x:c r="C75" s="18" t="s">
        <x:v>47</x:v>
      </x:c>
      <x:c r="D75" s="19" t="str">
        <x:f t="shared" si="6"/>
        <x:v>SDJC 1.5 x5N(E)</x:v>
      </x:c>
      <x:c r="E75" s="20" t="s">
        <x:v>53</x:v>
      </x:c>
      <x:c r="F75" s="18">
        <x:v>60622</x:v>
      </x:c>
      <x:c r="G75" s="18">
        <x:v>61105</x:v>
      </x:c>
      <x:c r="H75" s="21">
        <x:v>0.42152777777777778</x:v>
      </x:c>
      <x:c r="I75" s="20">
        <x:v>6</x:v>
      </x:c>
      <x:c r="J75" s="20">
        <x:v>6</x:v>
      </x:c>
      <x:c r="K75" s="10">
        <x:v>0</x:v>
      </x:c>
      <x:c r="L75" s="10">
        <x:v>0</x:v>
      </x:c>
      <x:c r="M75" s="10">
        <x:v>0</x:v>
      </x:c>
      <x:c r="N75" s="10">
        <x:v>0</x:v>
      </x:c>
      <x:c r="O75" s="10">
        <x:v>0</x:v>
      </x:c>
      <x:c r="P75" s="10">
        <x:v>0</x:v>
      </x:c>
      <x:c r="Q75" s="20" t="s">
        <x:v>45</x:v>
      </x:c>
      <x:c r="R75"/>
    </x:row>
    <x:row r="76" s="16" customFormat="1">
      <x:c r="A76"/>
      <x:c r="B76" s="18"/>
      <x:c r="C76" s="18" t="s">
        <x:v>47</x:v>
      </x:c>
      <x:c r="D76" s="19" t="str">
        <x:f t="shared" si="6"/>
        <x:v>SDJC 1.5 x5N(E)</x:v>
      </x:c>
      <x:c r="E76" s="20" t="s">
        <x:v>53</x:v>
      </x:c>
      <x:c r="F76" s="18">
        <x:v>60622</x:v>
      </x:c>
      <x:c r="G76" s="18">
        <x:v>61105</x:v>
      </x:c>
      <x:c r="H76" s="21">
        <x:v>0.42152777777777778</x:v>
      </x:c>
      <x:c r="I76" s="20">
        <x:v>3</x:v>
      </x:c>
      <x:c r="J76" s="20">
        <x:v>7</x:v>
      </x:c>
      <x:c r="K76" s="10">
        <x:v>0</x:v>
      </x:c>
      <x:c r="L76" s="10">
        <x:v>0</x:v>
      </x:c>
      <x:c r="M76" s="10">
        <x:v>5</x:v>
      </x:c>
      <x:c r="N76" s="10">
        <x:v>5</x:v>
      </x:c>
      <x:c r="O76" s="10">
        <x:v>0</x:v>
      </x:c>
      <x:c r="P76" s="10">
        <x:v>0</x:v>
      </x:c>
      <x:c r="Q76" s="20" t="s">
        <x:v>45</x:v>
      </x:c>
      <x:c r="R76"/>
    </x:row>
    <x:row r="77" s="16" customFormat="1">
      <x:c r="A77"/>
      <x:c r="B77" s="18"/>
      <x:c r="C77" s="18" t="s">
        <x:v>47</x:v>
      </x:c>
      <x:c r="D77" s="19" t="str">
        <x:f t="shared" si="6"/>
        <x:v>SDJC 1.5 x5N(E)</x:v>
      </x:c>
      <x:c r="E77" s="20" t="s">
        <x:v>53</x:v>
      </x:c>
      <x:c r="F77" s="18">
        <x:v>60622</x:v>
      </x:c>
      <x:c r="G77" s="18">
        <x:v>61105</x:v>
      </x:c>
      <x:c r="H77" s="21">
        <x:v>0.42152777777777778</x:v>
      </x:c>
      <x:c r="I77" s="20">
        <x:v>6</x:v>
      </x:c>
      <x:c r="J77" s="20">
        <x:v>8</x:v>
      </x:c>
      <x:c r="K77" s="10">
        <x:v>0</x:v>
      </x:c>
      <x:c r="L77" s="10">
        <x:v>0</x:v>
      </x:c>
      <x:c r="M77" s="10">
        <x:v>1</x:v>
      </x:c>
      <x:c r="N77" s="10">
        <x:v>1</x:v>
      </x:c>
      <x:c r="O77" s="10">
        <x:v>0</x:v>
      </x:c>
      <x:c r="P77" s="10">
        <x:v>0</x:v>
      </x:c>
      <x:c r="Q77" s="20" t="s">
        <x:v>45</x:v>
      </x:c>
      <x:c r="R77"/>
    </x:row>
    <x:row r="78" s="16" customFormat="1">
      <x:c r="A78"/>
      <x:c r="B78" s="18"/>
      <x:c r="C78" s="18" t="s">
        <x:v>47</x:v>
      </x:c>
      <x:c r="D78" s="19" t="str">
        <x:f t="shared" si="6"/>
        <x:v>SDJC 1.5 x5N(E)</x:v>
      </x:c>
      <x:c r="E78" s="20" t="s">
        <x:v>53</x:v>
      </x:c>
      <x:c r="F78" s="18">
        <x:v>60622</x:v>
      </x:c>
      <x:c r="G78" s="18">
        <x:v>61105</x:v>
      </x:c>
      <x:c r="H78" s="21">
        <x:v>0.42152777777777778</x:v>
      </x:c>
      <x:c r="I78" s="20">
        <x:v>3</x:v>
      </x:c>
      <x:c r="J78" s="20">
        <x:v>9</x:v>
      </x:c>
      <x:c r="K78" s="10">
        <x:v>0</x:v>
      </x:c>
      <x:c r="L78" s="10">
        <x:v>0</x:v>
      </x:c>
      <x:c r="M78" s="10">
        <x:v>1</x:v>
      </x:c>
      <x:c r="N78" s="10">
        <x:v>1</x:v>
      </x:c>
      <x:c r="O78" s="10">
        <x:v>0</x:v>
      </x:c>
      <x:c r="P78" s="10">
        <x:v>0</x:v>
      </x:c>
      <x:c r="Q78" s="20" t="s">
        <x:v>45</x:v>
      </x:c>
      <x:c r="R78"/>
    </x:row>
    <x:row r="79" s="16" customFormat="1">
      <x:c r="A79"/>
      <x:c r="B79" s="20"/>
      <x:c r="C79" s="18" t="s">
        <x:v>47</x:v>
      </x:c>
      <x:c r="D79" s="19" t="str">
        <x:f t="shared" si="6"/>
        <x:v>SDJC 1.5 x5N(E)</x:v>
      </x:c>
      <x:c r="E79" s="20" t="s">
        <x:v>53</x:v>
      </x:c>
      <x:c r="F79" s="18">
        <x:v>60622</x:v>
      </x:c>
      <x:c r="G79" s="18">
        <x:v>61105</x:v>
      </x:c>
      <x:c r="H79" s="21">
        <x:v>0.42152777777777778</x:v>
      </x:c>
      <x:c r="I79" s="20">
        <x:v>6</x:v>
      </x:c>
      <x:c r="J79" s="20">
        <x:v>10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20" t="s">
        <x:v>45</x:v>
      </x:c>
      <x:c r="R79"/>
    </x:row>
    <x:row r="80" s="16" customFormat="1">
      <x:c r="A80"/>
      <x:c r="B80" s="20"/>
      <x:c r="C80" s="18" t="s">
        <x:v>47</x:v>
      </x:c>
      <x:c r="D80" s="19" t="str">
        <x:f t="shared" si="6"/>
        <x:v>SDJC 1.5 x5N(E)</x:v>
      </x:c>
      <x:c r="E80" s="20" t="s">
        <x:v>53</x:v>
      </x:c>
      <x:c r="F80" s="18">
        <x:v>60622</x:v>
      </x:c>
      <x:c r="G80" s="18">
        <x:v>61105</x:v>
      </x:c>
      <x:c r="H80" s="21">
        <x:v>0.42152777777777778</x:v>
      </x:c>
      <x:c r="I80" s="20">
        <x:v>3</x:v>
      </x:c>
      <x:c r="J80" s="20">
        <x:v>11</x:v>
      </x:c>
      <x:c r="K80" s="10">
        <x:v>0</x:v>
      </x:c>
      <x:c r="L80" s="10">
        <x:v>0</x:v>
      </x:c>
      <x:c r="M80" s="10">
        <x:v>1</x:v>
      </x:c>
      <x:c r="N80" s="10">
        <x:v>1</x:v>
      </x:c>
      <x:c r="O80" s="10">
        <x:v>0</x:v>
      </x:c>
      <x:c r="P80" s="10">
        <x:v>0</x:v>
      </x:c>
      <x:c r="Q80" s="20" t="s">
        <x:v>45</x:v>
      </x:c>
      <x:c r="R80"/>
    </x:row>
    <x:row r="81" s="16" customFormat="1">
      <x:c r="A81"/>
      <x:c r="B81" s="20"/>
      <x:c r="C81" s="18" t="s">
        <x:v>47</x:v>
      </x:c>
      <x:c r="D81" s="19" t="str">
        <x:f t="shared" si="6"/>
        <x:v>SDJC 1.5 x5N(E)</x:v>
      </x:c>
      <x:c r="E81" s="20" t="s">
        <x:v>53</x:v>
      </x:c>
      <x:c r="F81" s="18">
        <x:v>60622</x:v>
      </x:c>
      <x:c r="G81" s="18">
        <x:v>61105</x:v>
      </x:c>
      <x:c r="H81" s="21">
        <x:v>0.42152777777777778</x:v>
      </x:c>
      <x:c r="I81" s="20">
        <x:v>6</x:v>
      </x:c>
      <x:c r="J81" s="20">
        <x:v>12</x:v>
      </x:c>
      <x:c r="K81" s="10">
        <x:v>0</x:v>
      </x:c>
      <x:c r="L81" s="10">
        <x:v>0</x:v>
      </x:c>
      <x:c r="M81" s="10">
        <x:v>2</x:v>
      </x:c>
      <x:c r="N81" s="10">
        <x:v>2</x:v>
      </x:c>
      <x:c r="O81" s="10">
        <x:v>0</x:v>
      </x:c>
      <x:c r="P81" s="10">
        <x:v>0</x:v>
      </x:c>
      <x:c r="Q81" s="20" t="s">
        <x:v>45</x:v>
      </x:c>
      <x:c r="R81"/>
    </x:row>
    <x:row r="82" s="16" customFormat="1">
      <x:c r="A82"/>
      <x:c r="B82" s="20"/>
      <x:c r="C82" s="18" t="s">
        <x:v>47</x:v>
      </x:c>
      <x:c r="D82" s="19" t="str">
        <x:f t="shared" si="6"/>
        <x:v>SDJC 1.5 x5N(E)</x:v>
      </x:c>
      <x:c r="E82" s="20" t="s">
        <x:v>53</x:v>
      </x:c>
      <x:c r="F82" s="18">
        <x:v>60622</x:v>
      </x:c>
      <x:c r="G82" s="18">
        <x:v>61105</x:v>
      </x:c>
      <x:c r="H82" s="21">
        <x:v>0.42152777777777778</x:v>
      </x:c>
      <x:c r="I82" s="20">
        <x:v>3</x:v>
      </x:c>
      <x:c r="J82" s="20">
        <x:v>13</x:v>
      </x:c>
      <x:c r="K82" s="10">
        <x:v>0</x:v>
      </x:c>
      <x:c r="L82" s="10">
        <x:v>0</x:v>
      </x:c>
      <x:c r="M82" s="10">
        <x:v>0</x:v>
      </x:c>
      <x:c r="N82" s="10">
        <x:v>0</x:v>
      </x:c>
      <x:c r="O82" s="10">
        <x:v>0</x:v>
      </x:c>
      <x:c r="P82" s="10">
        <x:v>0</x:v>
      </x:c>
      <x:c r="Q82" s="20" t="s">
        <x:v>45</x:v>
      </x:c>
      <x:c r="R82"/>
    </x:row>
    <x:row r="83" s="16" customFormat="1">
      <x:c r="A83"/>
      <x:c r="B83" s="20"/>
      <x:c r="C83" s="18" t="s">
        <x:v>47</x:v>
      </x:c>
      <x:c r="D83" s="19" t="str">
        <x:f t="shared" si="6"/>
        <x:v>SDJC 1.5 x5N(E)</x:v>
      </x:c>
      <x:c r="E83" s="20" t="s">
        <x:v>53</x:v>
      </x:c>
      <x:c r="F83" s="18">
        <x:v>60622</x:v>
      </x:c>
      <x:c r="G83" s="18">
        <x:v>61105</x:v>
      </x:c>
      <x:c r="H83" s="21">
        <x:v>0.42152777777777778</x:v>
      </x:c>
      <x:c r="I83" s="20">
        <x:v>6</x:v>
      </x:c>
      <x:c r="J83" s="20">
        <x:v>14</x:v>
      </x:c>
      <x:c r="K83" s="10">
        <x:v>0</x:v>
      </x:c>
      <x:c r="L83" s="10">
        <x:v>0</x:v>
      </x:c>
      <x:c r="M83" s="10">
        <x:v>0</x:v>
      </x:c>
      <x:c r="N83" s="10">
        <x:v>0</x:v>
      </x:c>
      <x:c r="O83" s="10">
        <x:v>0</x:v>
      </x:c>
      <x:c r="P83" s="10">
        <x:v>0</x:v>
      </x:c>
      <x:c r="Q83" s="20" t="s">
        <x:v>45</x:v>
      </x:c>
      <x:c r="R83"/>
    </x:row>
    <x:row r="84" s="16" customFormat="1">
      <x:c r="A84"/>
      <x:c r="B84" s="20"/>
      <x:c r="C84" s="18" t="s">
        <x:v>47</x:v>
      </x:c>
      <x:c r="D84" s="19" t="str">
        <x:f t="shared" si="6"/>
        <x:v>SDJC 1.5 x5N(E)</x:v>
      </x:c>
      <x:c r="E84" s="20" t="s">
        <x:v>53</x:v>
      </x:c>
      <x:c r="F84" s="18">
        <x:v>60622</x:v>
      </x:c>
      <x:c r="G84" s="18">
        <x:v>61105</x:v>
      </x:c>
      <x:c r="H84" s="21">
        <x:v>0.42152777777777778</x:v>
      </x:c>
      <x:c r="I84" s="20">
        <x:v>3</x:v>
      </x:c>
      <x:c r="J84" s="20">
        <x:v>15</x:v>
      </x:c>
      <x:c r="K84" s="10">
        <x:v>0</x:v>
      </x:c>
      <x:c r="L84" s="10">
        <x:v>0</x:v>
      </x:c>
      <x:c r="M84" s="10">
        <x:v>1</x:v>
      </x:c>
      <x:c r="N84" s="10">
        <x:v>1</x:v>
      </x:c>
      <x:c r="O84" s="10">
        <x:v>0</x:v>
      </x:c>
      <x:c r="P84" s="10">
        <x:v>0</x:v>
      </x:c>
      <x:c r="Q84" s="20" t="s">
        <x:v>45</x:v>
      </x:c>
      <x:c r="R84"/>
    </x:row>
    <x:row r="85" s="16" customFormat="1">
      <x:c r="A85"/>
      <x:c r="F85" s="22"/>
      <x:c r="H85" s="23"/>
      <x:c r="I85" s="23"/>
      <x:c r="J85" s="23"/>
      <x:c r="K85" s="24"/>
      <x:c r="L85" s="24"/>
      <x:c r="M85" s="24"/>
      <x:c r="N85" s="24"/>
      <x:c r="O85" s="24"/>
      <x:c r="P85" s="24"/>
      <x:c r="R85"/>
    </x:row>
    <x:row r="86" s="16" customFormat="1">
      <x:c r="A86"/>
      <x:c r="F86" s="22"/>
      <x:c r="H86" s="23"/>
      <x:c r="I86" s="23"/>
      <x:c r="J86" s="23"/>
      <x:c r="K86" s="24"/>
      <x:c r="L86" s="24"/>
      <x:c r="M86" s="24"/>
      <x:c r="N86" s="24"/>
      <x:c r="O86" s="24"/>
      <x:c r="P86" s="24"/>
      <x:c r="R86"/>
    </x:row>
    <x:row r="87" s="16" customFormat="1">
      <x:c r="A87"/>
      <x:c r="F87" s="22"/>
      <x:c r="H87" s="23"/>
      <x:c r="I87" s="23"/>
      <x:c r="J87" s="23"/>
      <x:c r="K87" s="24"/>
      <x:c r="L87" s="24"/>
      <x:c r="M87" s="24"/>
      <x:c r="N87" s="24"/>
      <x:c r="O87" s="24"/>
      <x:c r="P87" s="24"/>
      <x:c r="R87"/>
    </x:row>
    <x:row r="88" s="16" customFormat="1">
      <x:c r="A88"/>
      <x:c r="F88" s="22"/>
      <x:c r="H88" s="23"/>
      <x:c r="I88" s="23"/>
      <x:c r="J88" s="23"/>
      <x:c r="K88" s="24"/>
      <x:c r="L88" s="24"/>
      <x:c r="M88" s="24"/>
      <x:c r="N88" s="24"/>
      <x:c r="O88" s="24"/>
      <x:c r="P88" s="24"/>
      <x:c r="R88"/>
    </x:row>
    <x:row r="89" s="16" customFormat="1">
      <x:c r="A89"/>
      <x:c r="F89" s="22"/>
      <x:c r="H89" s="23"/>
      <x:c r="I89" s="23"/>
      <x:c r="J89" s="23"/>
      <x:c r="K89" s="24"/>
      <x:c r="L89" s="24"/>
      <x:c r="M89" s="24"/>
      <x:c r="N89" s="24"/>
      <x:c r="O89" s="24"/>
      <x:c r="P89" s="24"/>
      <x:c r="R89"/>
    </x:row>
    <x:row r="90" s="16" customFormat="1">
      <x:c r="A90"/>
      <x:c r="F90" s="22"/>
      <x:c r="H90" s="23"/>
      <x:c r="I90" s="23"/>
      <x:c r="J90" s="23"/>
      <x:c r="K90" s="24"/>
      <x:c r="L90" s="24"/>
      <x:c r="M90" s="24"/>
      <x:c r="N90" s="24"/>
      <x:c r="O90" s="24"/>
      <x:c r="P90" s="24"/>
      <x:c r="R90"/>
    </x:row>
    <x:row r="91" s="16" customFormat="1">
      <x:c r="A91"/>
      <x:c r="F91" s="22"/>
      <x:c r="H91" s="23"/>
      <x:c r="I91" s="23"/>
      <x:c r="J91" s="23"/>
      <x:c r="K91" s="24"/>
      <x:c r="L91" s="24"/>
      <x:c r="M91" s="24"/>
      <x:c r="N91" s="24"/>
      <x:c r="O91" s="24"/>
      <x:c r="P91" s="24"/>
      <x:c r="R91"/>
    </x:row>
    <x:row r="92" s="16" customFormat="1">
      <x:c r="A92"/>
      <x:c r="F92" s="22"/>
      <x:c r="H92" s="23"/>
      <x:c r="I92" s="23"/>
      <x:c r="J92" s="23"/>
      <x:c r="K92" s="24"/>
      <x:c r="L92" s="24"/>
      <x:c r="M92" s="24"/>
      <x:c r="N92" s="24"/>
      <x:c r="O92" s="24"/>
      <x:c r="P92" s="24"/>
      <x:c r="R92"/>
    </x:row>
    <x:row r="93" s="16" customFormat="1">
      <x:c r="A93"/>
      <x:c r="F93" s="22"/>
      <x:c r="H93" s="23"/>
      <x:c r="I93" s="23"/>
      <x:c r="J93" s="23"/>
      <x:c r="K93" s="24"/>
      <x:c r="L93" s="24"/>
      <x:c r="M93" s="24"/>
      <x:c r="N93" s="24"/>
      <x:c r="O93" s="24"/>
      <x:c r="P93" s="24"/>
      <x:c r="R93"/>
    </x:row>
    <x:row r="94" s="16" customFormat="1">
      <x:c r="A94"/>
      <x:c r="F94" s="22"/>
      <x:c r="H94" s="23"/>
      <x:c r="I94" s="23"/>
      <x:c r="J94" s="23"/>
      <x:c r="K94" s="24"/>
      <x:c r="L94" s="24"/>
      <x:c r="M94" s="24"/>
      <x:c r="N94" s="24"/>
      <x:c r="O94" s="24"/>
      <x:c r="P94" s="24"/>
      <x:c r="R94"/>
    </x:row>
    <x:row r="95" s="16" customFormat="1">
      <x:c r="A95"/>
      <x:c r="F95" s="22"/>
      <x:c r="H95" s="23"/>
      <x:c r="I95" s="23"/>
      <x:c r="J95" s="23"/>
      <x:c r="K95" s="24"/>
      <x:c r="L95" s="24"/>
      <x:c r="M95" s="24"/>
      <x:c r="N95" s="24"/>
      <x:c r="O95" s="24"/>
      <x:c r="P95" s="24"/>
      <x:c r="R95"/>
    </x:row>
    <x:row r="96" s="16" customFormat="1">
      <x:c r="A96"/>
      <x:c r="F96" s="22"/>
      <x:c r="H96" s="23"/>
      <x:c r="I96" s="23"/>
      <x:c r="J96" s="23"/>
      <x:c r="K96" s="24"/>
      <x:c r="L96" s="24"/>
      <x:c r="M96" s="24"/>
      <x:c r="N96" s="24"/>
      <x:c r="O96" s="24"/>
      <x:c r="P96" s="24"/>
      <x:c r="R96"/>
    </x:row>
    <x:row r="97" s="16" customFormat="1">
      <x:c r="A97"/>
      <x:c r="F97" s="22"/>
      <x:c r="H97" s="23"/>
      <x:c r="I97" s="23"/>
      <x:c r="J97" s="23"/>
      <x:c r="K97" s="24"/>
      <x:c r="L97" s="24"/>
      <x:c r="M97" s="24"/>
      <x:c r="N97" s="24"/>
      <x:c r="O97" s="24"/>
      <x:c r="P97" s="24"/>
      <x:c r="R97"/>
    </x:row>
    <x:row r="98" s="16" customFormat="1">
      <x:c r="A98"/>
      <x:c r="F98" s="22"/>
      <x:c r="H98" s="23"/>
      <x:c r="I98" s="23"/>
      <x:c r="J98" s="23"/>
      <x:c r="K98" s="24"/>
      <x:c r="L98" s="24"/>
      <x:c r="M98" s="24"/>
      <x:c r="N98" s="24"/>
      <x:c r="O98" s="24"/>
      <x:c r="P98" s="24"/>
      <x:c r="R98"/>
    </x:row>
    <x:row r="99" s="16" customFormat="1">
      <x:c r="A99"/>
      <x:c r="F99" s="22"/>
      <x:c r="H99" s="23"/>
      <x:c r="I99" s="23"/>
      <x:c r="J99" s="23"/>
      <x:c r="K99" s="24"/>
      <x:c r="L99" s="24"/>
      <x:c r="M99" s="24"/>
      <x:c r="N99" s="24"/>
      <x:c r="O99" s="24"/>
      <x:c r="P99" s="24"/>
      <x:c r="R99"/>
    </x:row>
    <x:row r="100" s="16" customFormat="1">
      <x:c r="A100"/>
      <x:c r="F100" s="22"/>
      <x:c r="H100" s="23"/>
      <x:c r="I100" s="23"/>
      <x:c r="J100" s="23"/>
      <x:c r="K100" s="24"/>
      <x:c r="L100" s="24"/>
      <x:c r="M100" s="24"/>
      <x:c r="N100" s="24"/>
      <x:c r="O100" s="24"/>
      <x:c r="P100" s="24"/>
      <x:c r="R100"/>
    </x:row>
    <x:row r="101" s="16" customFormat="1">
      <x:c r="A101"/>
      <x:c r="F101" s="22"/>
      <x:c r="H101" s="23"/>
      <x:c r="I101" s="23"/>
      <x:c r="J101" s="23"/>
      <x:c r="K101" s="24"/>
      <x:c r="L101" s="24"/>
      <x:c r="M101" s="24"/>
      <x:c r="N101" s="24"/>
      <x:c r="O101" s="24"/>
      <x:c r="P101" s="24"/>
      <x:c r="R101"/>
    </x:row>
    <x:row r="102" s="16" customFormat="1">
      <x:c r="A102"/>
      <x:c r="F102" s="22"/>
      <x:c r="H102" s="23"/>
      <x:c r="I102" s="23"/>
      <x:c r="J102" s="23"/>
      <x:c r="K102" s="24"/>
      <x:c r="L102" s="24"/>
      <x:c r="M102" s="24"/>
      <x:c r="N102" s="24"/>
      <x:c r="O102" s="24"/>
      <x:c r="P102" s="24"/>
      <x:c r="R102"/>
    </x:row>
    <x:row r="103" s="16" customFormat="1">
      <x:c r="A103"/>
      <x:c r="F103" s="22"/>
      <x:c r="H103" s="23"/>
      <x:c r="I103" s="23"/>
      <x:c r="J103" s="23"/>
      <x:c r="K103" s="24"/>
      <x:c r="L103" s="24"/>
      <x:c r="M103" s="24"/>
      <x:c r="N103" s="24"/>
      <x:c r="O103" s="24"/>
      <x:c r="P103" s="24"/>
      <x:c r="R103"/>
    </x:row>
    <x:row r="104" s="16" customFormat="1">
      <x:c r="A104"/>
      <x:c r="F104" s="22"/>
      <x:c r="H104" s="23"/>
      <x:c r="I104" s="23"/>
      <x:c r="J104" s="23"/>
      <x:c r="K104" s="24"/>
      <x:c r="L104" s="24"/>
      <x:c r="M104" s="24"/>
      <x:c r="N104" s="24"/>
      <x:c r="O104" s="24"/>
      <x:c r="P104" s="24"/>
      <x:c r="R104"/>
    </x:row>
    <x:row r="105" s="16" customFormat="1">
      <x:c r="A105"/>
      <x:c r="F105" s="22"/>
      <x:c r="H105" s="23"/>
      <x:c r="I105" s="23"/>
      <x:c r="J105" s="23"/>
      <x:c r="K105" s="24"/>
      <x:c r="L105" s="24"/>
      <x:c r="M105" s="24"/>
      <x:c r="N105" s="24"/>
      <x:c r="O105" s="24"/>
      <x:c r="P105" s="24"/>
      <x:c r="R105"/>
    </x:row>
    <x:row r="106" s="16" customFormat="1">
      <x:c r="A106"/>
      <x:c r="F106" s="22"/>
      <x:c r="H106" s="23"/>
      <x:c r="I106" s="23"/>
      <x:c r="J106" s="23"/>
      <x:c r="K106" s="24"/>
      <x:c r="L106" s="24"/>
      <x:c r="M106" s="24"/>
      <x:c r="N106" s="24"/>
      <x:c r="O106" s="24"/>
      <x:c r="P106" s="24"/>
      <x:c r="R106"/>
    </x:row>
    <x:row r="107" s="16" customFormat="1">
      <x:c r="A107"/>
      <x:c r="F107" s="22"/>
      <x:c r="H107" s="23"/>
      <x:c r="I107" s="23"/>
      <x:c r="J107" s="23"/>
      <x:c r="K107" s="24"/>
      <x:c r="L107" s="24"/>
      <x:c r="M107" s="24"/>
      <x:c r="N107" s="24"/>
      <x:c r="O107" s="24"/>
      <x:c r="P107" s="24"/>
      <x:c r="R107"/>
    </x:row>
    <x:row r="108" s="16" customFormat="1">
      <x:c r="A108"/>
      <x:c r="F108" s="22"/>
      <x:c r="H108" s="23"/>
      <x:c r="I108" s="23"/>
      <x:c r="J108" s="23"/>
      <x:c r="K108" s="24"/>
      <x:c r="L108" s="24"/>
      <x:c r="M108" s="24"/>
      <x:c r="N108" s="24"/>
      <x:c r="O108" s="24"/>
      <x:c r="P108" s="24"/>
      <x:c r="R108"/>
    </x:row>
    <x:row r="109" s="16" customFormat="1">
      <x:c r="A109"/>
      <x:c r="F109" s="22"/>
      <x:c r="H109" s="23"/>
      <x:c r="I109" s="23"/>
      <x:c r="J109" s="23"/>
      <x:c r="K109" s="24"/>
      <x:c r="L109" s="24"/>
      <x:c r="M109" s="24"/>
      <x:c r="N109" s="24"/>
      <x:c r="O109" s="24"/>
      <x:c r="P109" s="24"/>
      <x:c r="R109"/>
    </x:row>
    <x:row r="110" s="16" customFormat="1">
      <x:c r="A110"/>
      <x:c r="F110" s="22"/>
      <x:c r="H110" s="23"/>
      <x:c r="I110" s="23"/>
      <x:c r="J110" s="23"/>
      <x:c r="K110" s="24"/>
      <x:c r="L110" s="24"/>
      <x:c r="M110" s="24"/>
      <x:c r="N110" s="24"/>
      <x:c r="O110" s="24"/>
      <x:c r="P110" s="24"/>
      <x:c r="R110"/>
    </x:row>
    <x:row r="111" s="16" customFormat="1">
      <x:c r="A111"/>
      <x:c r="F111" s="22"/>
      <x:c r="H111" s="23"/>
      <x:c r="I111" s="23"/>
      <x:c r="J111" s="23"/>
      <x:c r="K111" s="24"/>
      <x:c r="L111" s="24"/>
      <x:c r="M111" s="24"/>
      <x:c r="N111" s="24"/>
      <x:c r="O111" s="24"/>
      <x:c r="P111" s="24"/>
      <x:c r="R111"/>
    </x:row>
    <x:row r="112" s="16" customFormat="1">
      <x:c r="A112"/>
      <x:c r="F112" s="22"/>
      <x:c r="H112" s="23"/>
      <x:c r="I112" s="23"/>
      <x:c r="J112" s="23"/>
      <x:c r="K112" s="24"/>
      <x:c r="L112" s="24"/>
      <x:c r="M112" s="24"/>
      <x:c r="N112" s="24"/>
      <x:c r="O112" s="24"/>
      <x:c r="P112" s="24"/>
      <x:c r="R112"/>
    </x:row>
    <x:row r="113" s="16" customFormat="1">
      <x:c r="A113"/>
      <x:c r="F113" s="22"/>
      <x:c r="H113" s="23"/>
      <x:c r="I113" s="23"/>
      <x:c r="J113" s="23"/>
      <x:c r="K113" s="24"/>
      <x:c r="L113" s="24"/>
      <x:c r="M113" s="24"/>
      <x:c r="N113" s="24"/>
      <x:c r="O113" s="24"/>
      <x:c r="P113" s="24"/>
      <x:c r="R113"/>
    </x:row>
    <x:row r="114" s="16" customFormat="1">
      <x:c r="A114"/>
      <x:c r="F114" s="22"/>
      <x:c r="H114" s="23"/>
      <x:c r="I114" s="23"/>
      <x:c r="J114" s="23"/>
      <x:c r="K114" s="24"/>
      <x:c r="L114" s="24"/>
      <x:c r="M114" s="24"/>
      <x:c r="N114" s="24"/>
      <x:c r="O114" s="24"/>
      <x:c r="P114" s="24"/>
      <x:c r="R114"/>
    </x:row>
    <x:row r="115" s="16" customFormat="1">
      <x:c r="A115"/>
      <x:c r="F115" s="22"/>
      <x:c r="H115" s="23"/>
      <x:c r="I115" s="23"/>
      <x:c r="J115" s="23"/>
      <x:c r="K115" s="24"/>
      <x:c r="L115" s="24"/>
      <x:c r="M115" s="24"/>
      <x:c r="N115" s="24"/>
      <x:c r="O115" s="24"/>
      <x:c r="P115" s="24"/>
      <x:c r="R115"/>
    </x:row>
    <x:row r="116" s="16" customFormat="1">
      <x:c r="A116"/>
      <x:c r="F116" s="22"/>
      <x:c r="H116" s="23"/>
      <x:c r="I116" s="23"/>
      <x:c r="J116" s="23"/>
      <x:c r="K116" s="24"/>
      <x:c r="L116" s="24"/>
      <x:c r="M116" s="24"/>
      <x:c r="N116" s="24"/>
      <x:c r="O116" s="24"/>
      <x:c r="P116" s="24"/>
      <x:c r="R116"/>
    </x:row>
    <x:row r="117" s="16" customFormat="1">
      <x:c r="A117"/>
      <x:c r="F117" s="22"/>
      <x:c r="H117" s="23"/>
      <x:c r="I117" s="23"/>
      <x:c r="J117" s="23"/>
      <x:c r="K117" s="24"/>
      <x:c r="L117" s="24"/>
      <x:c r="M117" s="24"/>
      <x:c r="N117" s="24"/>
      <x:c r="O117" s="24"/>
      <x:c r="P117" s="24"/>
      <x:c r="R117"/>
    </x:row>
  </x:sheetData>
  <x:mergeCells>
    <x:mergeCell ref="Q68:Q69"/>
    <x:mergeCell ref="B68:B69"/>
    <x:mergeCell ref="C68:C69"/>
    <x:mergeCell ref="D68:D69"/>
    <x:mergeCell ref="H68:H69"/>
    <x:mergeCell ref="K68:P68"/>
    <x:mergeCell ref="F2:F3"/>
    <x:mergeCell ref="B1:D1"/>
    <x:mergeCell ref="B2:B3"/>
    <x:mergeCell ref="C2:C3"/>
    <x:mergeCell ref="D2:D3"/>
    <x:mergeCell ref="E2:E3"/>
    <x:mergeCell ref="G2:G3"/>
    <x:mergeCell ref="H2:H3"/>
    <x:mergeCell ref="K2:K3"/>
    <x:mergeCell ref="H49:H50"/>
    <x:mergeCell ref="K49:P49"/>
    <x:mergeCell ref="L2:L3"/>
    <x:mergeCell ref="M2:M3"/>
    <x:mergeCell ref="Q49:Q50"/>
    <x:mergeCell ref="Q9:Q10"/>
    <x:mergeCell ref="B29:B30"/>
    <x:mergeCell ref="C29:C30"/>
    <x:mergeCell ref="D29:D30"/>
    <x:mergeCell ref="H29:H30"/>
    <x:mergeCell ref="K29:P29"/>
    <x:mergeCell ref="Q29:Q30"/>
    <x:mergeCell ref="B9:B10"/>
    <x:mergeCell ref="C9:C10"/>
    <x:mergeCell ref="D9:D10"/>
    <x:mergeCell ref="H9:H10"/>
    <x:mergeCell ref="K9:P9"/>
    <x:mergeCell ref="B49:B50"/>
    <x:mergeCell ref="C49:C50"/>
    <x:mergeCell ref="D49:D50"/>
  </x:mergeCells>
  <x:conditionalFormatting sqref="K11:K28 K31:K48 K51:K67 K70:K49999">
    <x:cfRule type="cellIs" dxfId="20" priority="6" operator="greaterThan">
      <x:formula>$C$6</x:formula>
    </x:cfRule>
    <x:cfRule type="cellIs" dxfId="19" priority="7" operator="greaterThan">
      <x:formula>$C$5</x:formula>
    </x:cfRule>
  </x:conditionalFormatting>
  <x:conditionalFormatting sqref="K11:P28 K31:P48 K51:P67 K70:P49999">
    <x:cfRule type="cellIs" dxfId="18" priority="5" operator="greaterThan">
      <x:formula>0</x:formula>
    </x:cfRule>
  </x:conditionalFormatting>
  <x:conditionalFormatting sqref="N11:N28 N31:N48 N51:N67 N70:N49999">
    <x:cfRule type="cellIs" dxfId="17" priority="3" operator="greaterThan">
      <x:formula>$E$6</x:formula>
    </x:cfRule>
    <x:cfRule type="cellIs" dxfId="16" priority="4" operator="greaterThan">
      <x:formula>$E$5</x:formula>
    </x:cfRule>
  </x:conditionalFormatting>
  <x:conditionalFormatting sqref="O11:O28 O31:O48 O51:O67 O70:O49999">
    <x:cfRule type="cellIs" dxfId="15" priority="1" operator="greaterThan">
      <x:formula>$K$6</x:formula>
    </x:cfRule>
    <x:cfRule type="cellIs" dxfId="14" priority="2" operator="greaterThan">
      <x:formula>$K$5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.109375" defaultRowHeight="14.399999618530273"/>
  <x:cols>
    <x:col min="1" max="1" width="5.109375" customWidth="1"/>
    <x:col min="2" max="7" width="12.6640625" style="16" customWidth="1"/>
    <x:col min="8" max="10" width="12.6640625" style="23" customWidth="1"/>
    <x:col min="11" max="16" width="12.6640625" style="24" customWidth="1"/>
    <x:col min="17" max="17" width="12.6640625" style="16" customWidth="1"/>
  </x:cols>
  <x:sheetData>
    <x:row r="1" s="6" customFormat="1" ht="23.399999618530273">
      <x:c r="A1" s="1" t="s">
        <x:v>0</x:v>
      </x:c>
      <x:c r="B1" s="60" t="s">
        <x:v>54</x:v>
      </x:c>
      <x:c r="C1" s="60"/>
      <x:c r="D1" s="60"/>
      <x:c r="E1" s="2" t="s">
        <x:v>2</x:v>
      </x:c>
      <x:c r="F1" s="3"/>
      <x:c r="G1" s="3"/>
      <x:c r="H1" s="4"/>
      <x:c r="I1" s="4"/>
      <x:c r="J1" s="4"/>
      <x:c r="K1" s="5"/>
      <x:c r="L1" s="5"/>
      <x:c r="M1" s="5"/>
      <x:c r="N1" s="5"/>
      <x:c r="O1" s="5"/>
      <x:c r="P1" s="5"/>
      <x:c r="Q1" s="3"/>
    </x:row>
    <x:row r="2" s="6" customFormat="1" ht="15" customHeight="1">
      <x:c r="A2" s="1"/>
      <x:c r="B2" s="56" t="s">
        <x:v>3</x:v>
      </x:c>
      <x:c r="C2" s="57" t="s">
        <x:v>4</x:v>
      </x:c>
      <x:c r="D2" s="57" t="s">
        <x:v>5</x:v>
      </x:c>
      <x:c r="E2" s="57" t="s">
        <x:v>6</x:v>
      </x:c>
      <x:c r="F2" s="57" t="s">
        <x:v>7</x:v>
      </x:c>
      <x:c r="G2" s="57" t="s">
        <x:v>8</x:v>
      </x:c>
      <x:c r="H2" s="57" t="s">
        <x:v>9</x:v>
      </x:c>
      <x:c r="I2" s="8"/>
      <x:c r="J2" s="8"/>
      <x:c r="K2" s="57" t="s">
        <x:v>10</x:v>
      </x:c>
      <x:c r="L2" s="57" t="s">
        <x:v>11</x:v>
      </x:c>
      <x:c r="M2" s="57" t="s">
        <x:v>12</x:v>
      </x:c>
    </x:row>
    <x:row r="3" s="6" customFormat="1" ht="15" customHeight="1">
      <x:c r="A3" s="1"/>
      <x:c r="B3" s="56"/>
      <x:c r="C3" s="57"/>
      <x:c r="D3" s="57"/>
      <x:c r="E3" s="57"/>
      <x:c r="F3" s="57"/>
      <x:c r="G3" s="57"/>
      <x:c r="H3" s="57"/>
      <x:c r="I3" s="8"/>
      <x:c r="J3" s="8"/>
      <x:c r="K3" s="57"/>
      <x:c r="L3" s="57"/>
      <x:c r="M3" s="57"/>
    </x:row>
    <x:row r="4" s="6" customFormat="1" ht="15" customHeight="1">
      <x:c r="A4" s="1"/>
      <x:c r="B4" s="9" t="s">
        <x:v>13</x:v>
      </x:c>
      <x:c r="C4" s="10" t="s">
        <x:v>14</x:v>
      </x:c>
      <x:c r="D4" s="11" t="s">
        <x:v>14</x:v>
      </x:c>
      <x:c r="E4" s="10" t="s">
        <x:v>14</x:v>
      </x:c>
      <x:c r="F4" s="11" t="e">
        <x:f>VLOOKUP(A1,[2]Std!1:1048576,12,FALSE)</x:f>
        <x:v>#NAME?</x:v>
      </x:c>
      <x:c r="G4" s="11" t="e">
        <x:f>VLOOKUP(A1,[2]Std!1:1048576,15,FALSE)</x:f>
        <x:v>#NAME?</x:v>
      </x:c>
      <x:c r="H4" s="11" t="e">
        <x:f>VLOOKUP(A1,[2]Std!1:1048576,18,FALSE)</x:f>
        <x:v>#NAME?</x:v>
      </x:c>
      <x:c r="I4" s="11"/>
      <x:c r="J4" s="11"/>
      <x:c r="K4" s="10" t="s">
        <x:v>14</x:v>
      </x:c>
      <x:c r="L4" s="12" t="s">
        <x:v>14</x:v>
      </x:c>
      <x:c r="M4" s="12" t="s">
        <x:v>14</x:v>
      </x:c>
    </x:row>
    <x:row r="5" s="6" customFormat="1" ht="15" customHeight="1">
      <x:c r="A5" s="1"/>
      <x:c r="B5" s="9" t="s">
        <x:v>15</x:v>
      </x:c>
      <x:c r="C5" s="10">
        <x:v>1</x:v>
      </x:c>
      <x:c r="D5" s="11" t="s">
        <x:v>14</x:v>
      </x:c>
      <x:c r="E5" s="10">
        <x:v>15</x:v>
      </x:c>
      <x:c r="F5" s="11">
        <x:v>0</x:v>
      </x:c>
      <x:c r="G5" s="11" t="e">
        <x:f>VLOOKUP(A1,[2]Std!1:1048576,16,FALSE)</x:f>
        <x:v>#NAME?</x:v>
      </x:c>
      <x:c r="H5" s="11" t="e">
        <x:f>VLOOKUP(A1,[2]Std!1:1048576,19,FALSE)</x:f>
        <x:v>#NAME?</x:v>
      </x:c>
      <x:c r="I5" s="11"/>
      <x:c r="J5" s="11"/>
      <x:c r="K5" s="10" t="s">
        <x:v>14</x:v>
      </x:c>
      <x:c r="L5" s="12">
        <x:v>0</x:v>
      </x:c>
      <x:c r="M5" s="12">
        <x:v>3.8</x:v>
      </x:c>
    </x:row>
    <x:row r="6" s="6" customFormat="1" ht="15" customHeight="1">
      <x:c r="A6" s="1"/>
      <x:c r="B6" s="9" t="s">
        <x:v>16</x:v>
      </x:c>
      <x:c r="C6" s="10">
        <x:v>1</x:v>
      </x:c>
      <x:c r="D6" s="11" t="s">
        <x:v>14</x:v>
      </x:c>
      <x:c r="E6" s="10">
        <x:v>25</x:v>
      </x:c>
      <x:c r="F6" s="11">
        <x:v>0</x:v>
      </x:c>
      <x:c r="G6" s="11" t="e">
        <x:f>VLOOKUP(A1,[2]Std!1:1048576,17,FALSE)</x:f>
        <x:v>#NAME?</x:v>
      </x:c>
      <x:c r="H6" s="11" t="e">
        <x:f>VLOOKUP(A1,[2]Std!1:1048576,20,FALSE)</x:f>
        <x:v>#NAME?</x:v>
      </x:c>
      <x:c r="I6" s="11"/>
      <x:c r="J6" s="11"/>
      <x:c r="K6" s="10" t="s">
        <x:v>14</x:v>
      </x:c>
      <x:c r="L6" s="12">
        <x:v>1</x:v>
      </x:c>
      <x:c r="M6" s="12">
        <x:v>3.5</x:v>
      </x:c>
    </x:row>
    <x:row r="7" s="6" customFormat="1" ht="15" customHeight="1">
      <x:c r="A7" s="1"/>
      <x:c r="B7" t="s">
        <x:v>17</x:v>
      </x:c>
      <x:c r="D7" s="3"/>
      <x:c r="E7" s="3"/>
      <x:c r="F7" s="3"/>
      <x:c r="G7" s="3"/>
      <x:c r="H7" s="4"/>
      <x:c r="I7" s="4"/>
      <x:c r="J7" s="4"/>
      <x:c r="K7" s="5"/>
      <x:c r="L7" s="5"/>
      <x:c r="M7" s="5"/>
      <x:c r="N7" s="5"/>
      <x:c r="O7" s="5"/>
      <x:c r="P7" s="5"/>
      <x:c r="Q7" s="3"/>
    </x:row>
    <x:row r="8" s="6" customFormat="1" ht="15" customHeight="1">
      <x:c r="A8" s="1"/>
      <x:c r="B8" t="s">
        <x:v>18</x:v>
      </x:c>
      <x:c r="C8" s="13"/>
      <x:c r="D8" s="3"/>
      <x:c r="E8" s="3"/>
      <x:c r="F8" s="3"/>
      <x:c r="G8" s="3"/>
      <x:c r="L8" t="s">
        <x:v>19</x:v>
      </x:c>
      <x:c r="N8" s="5"/>
      <x:c r="O8" s="5"/>
      <x:c r="P8" s="5"/>
      <x:c r="Q8" s="3"/>
    </x:row>
    <x:row r="9" ht="15" customHeight="1">
      <x:c r="B9" s="57" t="s">
        <x:v>20</x:v>
      </x:c>
      <x:c r="C9" s="57" t="s">
        <x:v>21</x:v>
      </x:c>
      <x:c r="D9" s="56" t="s">
        <x:v>22</x:v>
      </x:c>
      <x:c r="E9" s="9" t="s">
        <x:v>23</x:v>
      </x:c>
      <x:c r="F9" s="14" t="s">
        <x:v>24</x:v>
      </x:c>
      <x:c r="G9" s="9" t="s">
        <x:v>24</x:v>
      </x:c>
      <x:c r="H9" s="58" t="s">
        <x:v>25</x:v>
      </x:c>
      <x:c r="I9" s="15"/>
      <x:c r="J9" s="15"/>
      <x:c r="K9" s="59" t="s">
        <x:v>26</x:v>
      </x:c>
      <x:c r="L9" s="59"/>
      <x:c r="M9" s="59"/>
      <x:c r="N9" s="59"/>
      <x:c r="O9" s="59"/>
      <x:c r="P9" s="59"/>
      <x:c r="Q9" s="56" t="s">
        <x:v>27</x:v>
      </x:c>
      <x:c r="R9" s="16"/>
    </x:row>
    <x:row r="10" ht="28.799999237060547">
      <x:c r="B10" s="56"/>
      <x:c r="C10" s="56"/>
      <x:c r="D10" s="56"/>
      <x:c r="E10" s="7" t="s">
        <x:v>28</x:v>
      </x:c>
      <x:c r="F10" s="8" t="s">
        <x:v>29</x:v>
      </x:c>
      <x:c r="G10" s="8" t="s">
        <x:v>30</x:v>
      </x:c>
      <x:c r="H10" s="58"/>
      <x:c r="I10" s="15" t="s">
        <x:v>31</x:v>
      </x:c>
      <x:c r="J10" s="15" t="s">
        <x:v>32</x:v>
      </x:c>
      <x:c r="K10" s="17" t="s">
        <x:v>33</x:v>
      </x:c>
      <x:c r="L10" s="17" t="s">
        <x:v>34</x:v>
      </x:c>
      <x:c r="M10" s="17" t="s">
        <x:v>35</x:v>
      </x:c>
      <x:c r="N10" s="17" t="s">
        <x:v>36</x:v>
      </x:c>
      <x:c r="O10" s="17" t="s">
        <x:v>10</x:v>
      </x:c>
      <x:c r="P10" s="17" t="s">
        <x:v>37</x:v>
      </x:c>
      <x:c r="Q10" s="56"/>
      <x:c r="R10" s="16"/>
    </x:row>
    <x:row r="11">
      <x:c r="B11" s="18" t="s">
        <x:v>38</x:v>
      </x:c>
      <x:c r="C11" s="18" t="s">
        <x:v>55</x:v>
      </x:c>
      <x:c r="D11" s="19" t="str">
        <x:f>$B$1</x:f>
        <x:v>SDJC 2.0 x5N(E)</x:v>
      </x:c>
      <x:c r="E11" s="20" t="s">
        <x:v>53</x:v>
      </x:c>
      <x:c r="F11" s="18">
        <x:v>60628</x:v>
      </x:c>
      <x:c r="G11" s="18">
        <x:v>61213</x:v>
      </x:c>
      <x:c r="H11" s="21">
        <x:v>0.65555555555555556</x:v>
      </x:c>
      <x:c r="I11" s="20">
        <x:v>6</x:v>
      </x:c>
      <x:c r="J11" s="20">
        <x:v>1</x:v>
      </x:c>
      <x:c r="K11" s="10">
        <x:v>0</x:v>
      </x:c>
      <x:c r="L11" s="10">
        <x:v>0</x:v>
      </x:c>
      <x:c r="M11" s="10">
        <x:v>3</x:v>
      </x:c>
      <x:c r="N11" s="10" t="n">
        <x:f>L11+M11</x:f>
        <x:v>3</x:v>
      </x:c>
      <x:c r="O11" s="10">
        <x:v>0</x:v>
      </x:c>
      <x:c r="P11" s="10">
        <x:v>0</x:v>
      </x:c>
      <x:c r="Q11" s="20" t="s">
        <x:v>41</x:v>
      </x:c>
    </x:row>
    <x:row r="12" s="16" customFormat="1">
      <x:c r="A12"/>
      <x:c r="B12" s="18"/>
      <x:c r="C12" s="18" t="s">
        <x:v>55</x:v>
      </x:c>
      <x:c r="D12" s="19" t="str">
        <x:f t="shared" ref="D12:D25" si="0">$B$1</x:f>
        <x:v>SDJC 2.0 x5N(E)</x:v>
      </x:c>
      <x:c r="E12" s="20" t="s">
        <x:v>53</x:v>
      </x:c>
      <x:c r="F12" s="18">
        <x:v>60628</x:v>
      </x:c>
      <x:c r="G12" s="18">
        <x:v>61213</x:v>
      </x:c>
      <x:c r="H12" s="21">
        <x:v>0.65555555555555556</x:v>
      </x:c>
      <x:c r="I12" s="20">
        <x:v>3</x:v>
      </x:c>
      <x:c r="J12" s="20">
        <x:v>2</x:v>
      </x:c>
      <x:c r="K12" s="10">
        <x:v>0</x:v>
      </x:c>
      <x:c r="L12" s="10">
        <x:v>0</x:v>
      </x:c>
      <x:c r="M12" s="10">
        <x:v>1</x:v>
      </x:c>
      <x:c r="N12" s="10" t="n">
        <x:f>L12+M12</x:f>
        <x:v>1</x:v>
      </x:c>
      <x:c r="O12" s="10">
        <x:v>0</x:v>
      </x:c>
      <x:c r="P12" s="10">
        <x:v>0</x:v>
      </x:c>
      <x:c r="Q12" s="20" t="s">
        <x:v>42</x:v>
      </x:c>
      <x:c r="R12"/>
    </x:row>
    <x:row r="13" s="16" customFormat="1">
      <x:c r="A13"/>
      <x:c r="B13" s="18"/>
      <x:c r="C13" s="18" t="s">
        <x:v>55</x:v>
      </x:c>
      <x:c r="D13" s="19" t="str">
        <x:f t="shared" si="0"/>
        <x:v>SDJC 2.0 x5N(E)</x:v>
      </x:c>
      <x:c r="E13" s="20" t="s">
        <x:v>53</x:v>
      </x:c>
      <x:c r="F13" s="18">
        <x:v>60628</x:v>
      </x:c>
      <x:c r="G13" s="18">
        <x:v>61213</x:v>
      </x:c>
      <x:c r="H13" s="21">
        <x:v>0.65555555555555556</x:v>
      </x:c>
      <x:c r="I13" s="20">
        <x:v>6</x:v>
      </x:c>
      <x:c r="J13" s="20">
        <x:v>3</x:v>
      </x:c>
      <x:c r="K13" s="10">
        <x:v>0</x:v>
      </x:c>
      <x:c r="L13" s="10">
        <x:v>0</x:v>
      </x:c>
      <x:c r="M13" s="10">
        <x:v>4</x:v>
      </x:c>
      <x:c r="N13" s="10" t="n">
        <x:f t="shared" ref="N13:N24" si="1">L13+M13</x:f>
        <x:v>4</x:v>
      </x:c>
      <x:c r="O13" s="10">
        <x:v>0</x:v>
      </x:c>
      <x:c r="P13" s="10">
        <x:v>0</x:v>
      </x:c>
      <x:c r="Q13" s="20" t="s">
        <x:v>41</x:v>
      </x:c>
      <x:c r="R13"/>
    </x:row>
    <x:row r="14" s="16" customFormat="1">
      <x:c r="A14"/>
      <x:c r="B14" s="20"/>
      <x:c r="C14" s="18" t="s">
        <x:v>55</x:v>
      </x:c>
      <x:c r="D14" s="19" t="str">
        <x:f t="shared" si="0"/>
        <x:v>SDJC 2.0 x5N(E)</x:v>
      </x:c>
      <x:c r="E14" s="20" t="s">
        <x:v>53</x:v>
      </x:c>
      <x:c r="F14" s="18">
        <x:v>60628</x:v>
      </x:c>
      <x:c r="G14" s="18">
        <x:v>61213</x:v>
      </x:c>
      <x:c r="H14" s="21">
        <x:v>0.65555555555555556</x:v>
      </x:c>
      <x:c r="I14" s="20">
        <x:v>3</x:v>
      </x:c>
      <x:c r="J14" s="20">
        <x:v>4</x:v>
      </x:c>
      <x:c r="K14" s="10">
        <x:v>0</x:v>
      </x:c>
      <x:c r="L14" s="10">
        <x:v>0</x:v>
      </x:c>
      <x:c r="M14" s="10">
        <x:v>2</x:v>
      </x:c>
      <x:c r="N14" s="10">
        <x:f t="shared" si="1"/>
        <x:v>2</x:v>
      </x:c>
      <x:c r="O14" s="10">
        <x:v>0</x:v>
      </x:c>
      <x:c r="P14" s="10">
        <x:v>0</x:v>
      </x:c>
      <x:c r="Q14" s="20" t="s">
        <x:v>42</x:v>
      </x:c>
      <x:c r="R14"/>
    </x:row>
    <x:row r="15" s="16" customFormat="1">
      <x:c r="A15"/>
      <x:c r="B15" s="20"/>
      <x:c r="C15" s="18" t="s">
        <x:v>55</x:v>
      </x:c>
      <x:c r="D15" s="19" t="str">
        <x:f t="shared" si="0"/>
        <x:v>SDJC 2.0 x5N(E)</x:v>
      </x:c>
      <x:c r="E15" s="20" t="s">
        <x:v>53</x:v>
      </x:c>
      <x:c r="F15" s="18">
        <x:v>60628</x:v>
      </x:c>
      <x:c r="G15" s="18">
        <x:v>61213</x:v>
      </x:c>
      <x:c r="H15" s="21">
        <x:v>0.65555555555555556</x:v>
      </x:c>
      <x:c r="I15" s="20">
        <x:v>6</x:v>
      </x:c>
      <x:c r="J15" s="20">
        <x:v>5</x:v>
      </x:c>
      <x:c r="K15" s="10">
        <x:v>0</x:v>
      </x:c>
      <x:c r="L15" s="10">
        <x:v>0</x:v>
      </x:c>
      <x:c r="M15" s="10">
        <x:v>1</x:v>
      </x:c>
      <x:c r="N15" s="10">
        <x:f t="shared" si="1"/>
        <x:v>1</x:v>
      </x:c>
      <x:c r="O15" s="10">
        <x:v>1</x:v>
      </x:c>
      <x:c r="P15" s="10">
        <x:v>0</x:v>
      </x:c>
      <x:c r="Q15" s="20" t="s">
        <x:v>41</x:v>
      </x:c>
      <x:c r="R15"/>
    </x:row>
    <x:row r="16" s="16" customFormat="1">
      <x:c r="A16"/>
      <x:c r="B16" s="20"/>
      <x:c r="C16" s="18" t="s">
        <x:v>55</x:v>
      </x:c>
      <x:c r="D16" s="19" t="str">
        <x:f t="shared" si="0"/>
        <x:v>SDJC 2.0 x5N(E)</x:v>
      </x:c>
      <x:c r="E16" s="20" t="s">
        <x:v>53</x:v>
      </x:c>
      <x:c r="F16" s="18">
        <x:v>60628</x:v>
      </x:c>
      <x:c r="G16" s="18">
        <x:v>61213</x:v>
      </x:c>
      <x:c r="H16" s="21">
        <x:v>0.65555555555555556</x:v>
      </x:c>
      <x:c r="I16" s="20">
        <x:v>3</x:v>
      </x:c>
      <x:c r="J16" s="20">
        <x:v>6</x:v>
      </x:c>
      <x:c r="K16" s="10">
        <x:v>0</x:v>
      </x:c>
      <x:c r="L16" s="10">
        <x:v>0</x:v>
      </x:c>
      <x:c r="M16" s="10">
        <x:v>2</x:v>
      </x:c>
      <x:c r="N16" s="10">
        <x:f t="shared" si="1"/>
        <x:v>2</x:v>
      </x:c>
      <x:c r="O16" s="10">
        <x:v>0</x:v>
      </x:c>
      <x:c r="P16" s="10">
        <x:v>0</x:v>
      </x:c>
      <x:c r="Q16" s="20" t="s">
        <x:v>41</x:v>
      </x:c>
      <x:c r="R16"/>
    </x:row>
    <x:row r="17" s="16" customFormat="1">
      <x:c r="A17"/>
      <x:c r="B17" s="18"/>
      <x:c r="C17" s="18" t="s">
        <x:v>55</x:v>
      </x:c>
      <x:c r="D17" s="19" t="str">
        <x:f t="shared" si="0"/>
        <x:v>SDJC 2.0 x5N(E)</x:v>
      </x:c>
      <x:c r="E17" s="20" t="s">
        <x:v>53</x:v>
      </x:c>
      <x:c r="F17" s="18">
        <x:v>60628</x:v>
      </x:c>
      <x:c r="G17" s="18">
        <x:v>61213</x:v>
      </x:c>
      <x:c r="H17" s="21">
        <x:v>0.65555555555555556</x:v>
      </x:c>
      <x:c r="I17" s="20">
        <x:v>6</x:v>
      </x:c>
      <x:c r="J17" s="20">
        <x:v>7</x:v>
      </x:c>
      <x:c r="K17" s="10">
        <x:v>0</x:v>
      </x:c>
      <x:c r="L17" s="10">
        <x:v>0</x:v>
      </x:c>
      <x:c r="M17" s="10">
        <x:v>2</x:v>
      </x:c>
      <x:c r="N17" s="10">
        <x:f t="shared" si="1"/>
        <x:v>2</x:v>
      </x:c>
      <x:c r="O17" s="10">
        <x:v>0</x:v>
      </x:c>
      <x:c r="P17" s="10">
        <x:v>0</x:v>
      </x:c>
      <x:c r="Q17" s="20" t="s">
        <x:v>41</x:v>
      </x:c>
      <x:c r="R17"/>
    </x:row>
    <x:row r="18" s="16" customFormat="1">
      <x:c r="A18"/>
      <x:c r="B18" s="18"/>
      <x:c r="C18" s="18" t="s">
        <x:v>55</x:v>
      </x:c>
      <x:c r="D18" s="19" t="str">
        <x:f t="shared" si="0"/>
        <x:v>SDJC 2.0 x5N(E)</x:v>
      </x:c>
      <x:c r="E18" s="20" t="s">
        <x:v>53</x:v>
      </x:c>
      <x:c r="F18" s="18">
        <x:v>60628</x:v>
      </x:c>
      <x:c r="G18" s="18">
        <x:v>61213</x:v>
      </x:c>
      <x:c r="H18" s="21">
        <x:v>0.65555555555555556</x:v>
      </x:c>
      <x:c r="I18" s="20">
        <x:v>3</x:v>
      </x:c>
      <x:c r="J18" s="20">
        <x:v>8</x:v>
      </x:c>
      <x:c r="K18" s="10">
        <x:v>0</x:v>
      </x:c>
      <x:c r="L18" s="10">
        <x:v>0</x:v>
      </x:c>
      <x:c r="M18" s="10">
        <x:v>1</x:v>
      </x:c>
      <x:c r="N18" s="10">
        <x:f t="shared" si="1"/>
        <x:v>1</x:v>
      </x:c>
      <x:c r="O18" s="10">
        <x:v>0</x:v>
      </x:c>
      <x:c r="P18" s="10">
        <x:v>0</x:v>
      </x:c>
      <x:c r="Q18" s="20" t="s">
        <x:v>42</x:v>
      </x:c>
      <x:c r="R18"/>
    </x:row>
    <x:row r="19" s="16" customFormat="1">
      <x:c r="A19"/>
      <x:c r="B19" s="18"/>
      <x:c r="C19" s="18" t="s">
        <x:v>55</x:v>
      </x:c>
      <x:c r="D19" s="19" t="str">
        <x:f t="shared" si="0"/>
        <x:v>SDJC 2.0 x5N(E)</x:v>
      </x:c>
      <x:c r="E19" s="20" t="s">
        <x:v>53</x:v>
      </x:c>
      <x:c r="F19" s="18">
        <x:v>60628</x:v>
      </x:c>
      <x:c r="G19" s="18">
        <x:v>61213</x:v>
      </x:c>
      <x:c r="H19" s="21">
        <x:v>0.65555555555555556</x:v>
      </x:c>
      <x:c r="I19" s="20">
        <x:v>6</x:v>
      </x:c>
      <x:c r="J19" s="20">
        <x:v>9</x:v>
      </x:c>
      <x:c r="K19" s="10">
        <x:v>0</x:v>
      </x:c>
      <x:c r="L19" s="10">
        <x:v>0</x:v>
      </x:c>
      <x:c r="M19" s="10">
        <x:v>6</x:v>
      </x:c>
      <x:c r="N19" s="10">
        <x:f t="shared" si="1"/>
        <x:v>6</x:v>
      </x:c>
      <x:c r="O19" s="10">
        <x:v>0</x:v>
      </x:c>
      <x:c r="P19" s="10">
        <x:v>0</x:v>
      </x:c>
      <x:c r="Q19" s="20" t="s">
        <x:v>41</x:v>
      </x:c>
      <x:c r="R19"/>
    </x:row>
    <x:row r="20" s="16" customFormat="1">
      <x:c r="A20"/>
      <x:c r="B20" s="20"/>
      <x:c r="C20" s="18" t="s">
        <x:v>55</x:v>
      </x:c>
      <x:c r="D20" s="19" t="str">
        <x:f t="shared" si="0"/>
        <x:v>SDJC 2.0 x5N(E)</x:v>
      </x:c>
      <x:c r="E20" s="20" t="s">
        <x:v>53</x:v>
      </x:c>
      <x:c r="F20" s="18">
        <x:v>60628</x:v>
      </x:c>
      <x:c r="G20" s="18">
        <x:v>61213</x:v>
      </x:c>
      <x:c r="H20" s="21">
        <x:v>0.65555555555555556</x:v>
      </x:c>
      <x:c r="I20" s="20">
        <x:v>3</x:v>
      </x:c>
      <x:c r="J20" s="20">
        <x:v>10</x:v>
      </x:c>
      <x:c r="K20" s="10">
        <x:v>0</x:v>
      </x:c>
      <x:c r="L20" s="10">
        <x:v>0</x:v>
      </x:c>
      <x:c r="M20" s="10">
        <x:v>1</x:v>
      </x:c>
      <x:c r="N20" s="10">
        <x:f t="shared" si="1"/>
        <x:v>1</x:v>
      </x:c>
      <x:c r="O20" s="10">
        <x:v>0</x:v>
      </x:c>
      <x:c r="P20" s="10">
        <x:v>0</x:v>
      </x:c>
      <x:c r="Q20" s="20" t="s">
        <x:v>41</x:v>
      </x:c>
      <x:c r="R20"/>
    </x:row>
    <x:row r="21" s="16" customFormat="1">
      <x:c r="A21"/>
      <x:c r="B21" s="20"/>
      <x:c r="C21" s="18" t="s">
        <x:v>55</x:v>
      </x:c>
      <x:c r="D21" s="19" t="str">
        <x:f t="shared" si="0"/>
        <x:v>SDJC 2.0 x5N(E)</x:v>
      </x:c>
      <x:c r="E21" s="20" t="s">
        <x:v>53</x:v>
      </x:c>
      <x:c r="F21" s="18">
        <x:v>60628</x:v>
      </x:c>
      <x:c r="G21" s="18">
        <x:v>61213</x:v>
      </x:c>
      <x:c r="H21" s="21">
        <x:v>0.65555555555555556</x:v>
      </x:c>
      <x:c r="I21" s="20">
        <x:v>6</x:v>
      </x:c>
      <x:c r="J21" s="20">
        <x:v>11</x:v>
      </x:c>
      <x:c r="K21" s="10">
        <x:v>0</x:v>
      </x:c>
      <x:c r="L21" s="10">
        <x:v>0</x:v>
      </x:c>
      <x:c r="M21" s="10">
        <x:v>4</x:v>
      </x:c>
      <x:c r="N21" s="10">
        <x:f t="shared" si="1"/>
        <x:v>4</x:v>
      </x:c>
      <x:c r="O21" s="10">
        <x:v>0</x:v>
      </x:c>
      <x:c r="P21" s="10">
        <x:v>0</x:v>
      </x:c>
      <x:c r="Q21" s="20" t="s">
        <x:v>42</x:v>
      </x:c>
      <x:c r="R21"/>
    </x:row>
    <x:row r="22" s="16" customFormat="1">
      <x:c r="A22"/>
      <x:c r="B22" s="20"/>
      <x:c r="C22" s="18" t="s">
        <x:v>55</x:v>
      </x:c>
      <x:c r="D22" s="19" t="str">
        <x:f t="shared" si="0"/>
        <x:v>SDJC 2.0 x5N(E)</x:v>
      </x:c>
      <x:c r="E22" s="20" t="s">
        <x:v>53</x:v>
      </x:c>
      <x:c r="F22" s="18">
        <x:v>60628</x:v>
      </x:c>
      <x:c r="G22" s="18">
        <x:v>61213</x:v>
      </x:c>
      <x:c r="H22" s="21">
        <x:v>0.65555555555555556</x:v>
      </x:c>
      <x:c r="I22" s="20">
        <x:v>3</x:v>
      </x:c>
      <x:c r="J22" s="20">
        <x:v>12</x:v>
      </x:c>
      <x:c r="K22" s="10">
        <x:v>0</x:v>
      </x:c>
      <x:c r="L22" s="10">
        <x:v>0</x:v>
      </x:c>
      <x:c r="M22" s="10">
        <x:v>3</x:v>
      </x:c>
      <x:c r="N22" s="10">
        <x:f t="shared" si="1"/>
        <x:v>3</x:v>
      </x:c>
      <x:c r="O22" s="10">
        <x:v>0</x:v>
      </x:c>
      <x:c r="P22" s="10">
        <x:v>0</x:v>
      </x:c>
      <x:c r="Q22" s="20" t="s">
        <x:v>41</x:v>
      </x:c>
      <x:c r="R22"/>
    </x:row>
    <x:row r="23" s="16" customFormat="1" ht="15" customHeight="1">
      <x:c r="A23"/>
      <x:c r="B23" s="20"/>
      <x:c r="C23" s="18" t="s">
        <x:v>55</x:v>
      </x:c>
      <x:c r="D23" s="19" t="str">
        <x:f t="shared" si="0"/>
        <x:v>SDJC 2.0 x5N(E)</x:v>
      </x:c>
      <x:c r="E23" s="20" t="s">
        <x:v>53</x:v>
      </x:c>
      <x:c r="F23" s="18">
        <x:v>60628</x:v>
      </x:c>
      <x:c r="G23" s="18">
        <x:v>61213</x:v>
      </x:c>
      <x:c r="H23" s="21">
        <x:v>0.65555555555555556</x:v>
      </x:c>
      <x:c r="I23" s="20">
        <x:v>6</x:v>
      </x:c>
      <x:c r="J23" s="20">
        <x:v>13</x:v>
      </x:c>
      <x:c r="K23" s="10">
        <x:v>0</x:v>
      </x:c>
      <x:c r="L23" s="10">
        <x:v>0</x:v>
      </x:c>
      <x:c r="M23" s="10">
        <x:v>1</x:v>
      </x:c>
      <x:c r="N23" s="10">
        <x:f t="shared" si="1"/>
        <x:v>1</x:v>
      </x:c>
      <x:c r="O23" s="10">
        <x:v>0</x:v>
      </x:c>
      <x:c r="P23" s="10">
        <x:v>0</x:v>
      </x:c>
      <x:c r="Q23" s="20" t="s">
        <x:v>42</x:v>
      </x:c>
      <x:c r="R23"/>
    </x:row>
    <x:row r="24" s="16" customFormat="1" ht="15" customHeight="1">
      <x:c r="A24"/>
      <x:c r="B24" s="20"/>
      <x:c r="C24" s="18" t="s">
        <x:v>55</x:v>
      </x:c>
      <x:c r="D24" s="19" t="str">
        <x:f t="shared" si="0"/>
        <x:v>SDJC 2.0 x5N(E)</x:v>
      </x:c>
      <x:c r="E24" s="20" t="s">
        <x:v>53</x:v>
      </x:c>
      <x:c r="F24" s="18">
        <x:v>60628</x:v>
      </x:c>
      <x:c r="G24" s="18">
        <x:v>61213</x:v>
      </x:c>
      <x:c r="H24" s="21">
        <x:v>0.65555555555555556</x:v>
      </x:c>
      <x:c r="I24" s="20">
        <x:v>3</x:v>
      </x:c>
      <x:c r="J24" s="20">
        <x:v>14</x:v>
      </x:c>
      <x:c r="K24" s="10">
        <x:v>0</x:v>
      </x:c>
      <x:c r="L24" s="10">
        <x:v>0</x:v>
      </x:c>
      <x:c r="M24" s="10">
        <x:v>1</x:v>
      </x:c>
      <x:c r="N24" s="10">
        <x:f t="shared" si="1"/>
        <x:v>1</x:v>
      </x:c>
      <x:c r="O24" s="10">
        <x:v>0</x:v>
      </x:c>
      <x:c r="P24" s="10">
        <x:v>0</x:v>
      </x:c>
      <x:c r="Q24" s="20" t="s">
        <x:v>41</x:v>
      </x:c>
      <x:c r="R24"/>
    </x:row>
    <x:row r="25" s="16" customFormat="1" ht="15" customHeight="1">
      <x:c r="A25"/>
      <x:c r="B25" s="27"/>
      <x:c r="C25" s="18" t="s">
        <x:v>55</x:v>
      </x:c>
      <x:c r="D25" s="19" t="str">
        <x:f t="shared" si="0"/>
        <x:v>SDJC 2.0 x5N(E)</x:v>
      </x:c>
      <x:c r="E25" s="20" t="s">
        <x:v>53</x:v>
      </x:c>
      <x:c r="F25" s="18">
        <x:v>60628</x:v>
      </x:c>
      <x:c r="G25" s="18">
        <x:v>61213</x:v>
      </x:c>
      <x:c r="H25" s="21">
        <x:v>0.65555555555555556</x:v>
      </x:c>
      <x:c r="I25" s="27">
        <x:v>6</x:v>
      </x:c>
      <x:c r="J25" s="27">
        <x:v>15</x:v>
      </x:c>
      <x:c r="K25" s="29">
        <x:v>0</x:v>
      </x:c>
      <x:c r="L25" s="29">
        <x:v>0</x:v>
      </x:c>
      <x:c r="M25" s="29">
        <x:v>2</x:v>
      </x:c>
      <x:c r="N25" s="29" t="n">
        <x:f>L25+M25</x:f>
        <x:v>2</x:v>
      </x:c>
      <x:c r="O25" s="29">
        <x:v>0</x:v>
      </x:c>
      <x:c r="P25" s="29">
        <x:v>0</x:v>
      </x:c>
      <x:c r="Q25" s="27" t="s">
        <x:v>42</x:v>
      </x:c>
      <x:c r="R25"/>
    </x:row>
    <x:row r="26" s="16" customFormat="1">
      <x:c r="A26"/>
      <x:c r="B26" s="31"/>
      <x:c r="C26" s="32"/>
      <x:c r="D26" s="33"/>
      <x:c r="E26" s="31"/>
      <x:c r="F26" s="32"/>
      <x:c r="G26" s="32"/>
      <x:c r="H26" s="34"/>
      <x:c r="I26" s="34"/>
      <x:c r="J26" s="31"/>
      <x:c r="K26" s="35"/>
      <x:c r="L26" s="35"/>
      <x:c r="M26" s="35"/>
      <x:c r="N26" s="35"/>
      <x:c r="O26" s="35"/>
      <x:c r="P26" s="35"/>
      <x:c r="Q26" s="31"/>
      <x:c r="R26"/>
    </x:row>
    <x:row r="27" s="16" customFormat="1">
      <x:c r="A27"/>
      <x:c r="F27" s="22"/>
      <x:c r="H27" s="23"/>
      <x:c r="I27" s="23"/>
      <x:c r="J27" s="23"/>
      <x:c r="K27" s="24"/>
      <x:c r="L27" s="24"/>
      <x:c r="M27" s="24"/>
      <x:c r="N27" s="24"/>
      <x:c r="O27" s="24"/>
      <x:c r="P27" s="24"/>
      <x:c r="R27"/>
    </x:row>
    <x:row r="28" s="16" customFormat="1">
      <x:c r="A28"/>
      <x:c r="F28" s="22"/>
      <x:c r="H28" s="23"/>
      <x:c r="I28" s="23"/>
      <x:c r="J28" s="23"/>
      <x:c r="K28" s="24"/>
      <x:c r="L28" s="24"/>
      <x:c r="M28" s="24"/>
      <x:c r="N28" s="24"/>
      <x:c r="O28" s="24"/>
      <x:c r="P28" s="24"/>
      <x:c r="R28"/>
    </x:row>
    <x:row r="29" s="16" customFormat="1">
      <x:c r="A29"/>
      <x:c r="B29" s="57" t="s">
        <x:v>20</x:v>
      </x:c>
      <x:c r="C29" s="57" t="s">
        <x:v>21</x:v>
      </x:c>
      <x:c r="D29" s="56" t="s">
        <x:v>22</x:v>
      </x:c>
      <x:c r="E29" s="9" t="s">
        <x:v>23</x:v>
      </x:c>
      <x:c r="F29" s="14" t="s">
        <x:v>24</x:v>
      </x:c>
      <x:c r="G29" s="9" t="s">
        <x:v>24</x:v>
      </x:c>
      <x:c r="H29" s="58" t="s">
        <x:v>25</x:v>
      </x:c>
      <x:c r="I29" s="15"/>
      <x:c r="J29" s="15"/>
      <x:c r="K29" s="59" t="s">
        <x:v>26</x:v>
      </x:c>
      <x:c r="L29" s="59"/>
      <x:c r="M29" s="59"/>
      <x:c r="N29" s="59"/>
      <x:c r="O29" s="59"/>
      <x:c r="P29" s="59"/>
      <x:c r="Q29" s="56" t="s">
        <x:v>27</x:v>
      </x:c>
      <x:c r="R29"/>
    </x:row>
    <x:row r="30" s="16" customFormat="1" ht="28.799999237060547">
      <x:c r="A30"/>
      <x:c r="B30" s="56"/>
      <x:c r="C30" s="56"/>
      <x:c r="D30" s="56"/>
      <x:c r="E30" s="7" t="s">
        <x:v>28</x:v>
      </x:c>
      <x:c r="F30" s="8" t="s">
        <x:v>29</x:v>
      </x:c>
      <x:c r="G30" s="8" t="s">
        <x:v>30</x:v>
      </x:c>
      <x:c r="H30" s="58"/>
      <x:c r="I30" s="15" t="s">
        <x:v>31</x:v>
      </x:c>
      <x:c r="J30" s="15" t="s">
        <x:v>32</x:v>
      </x:c>
      <x:c r="K30" s="17" t="s">
        <x:v>33</x:v>
      </x:c>
      <x:c r="L30" s="17" t="s">
        <x:v>34</x:v>
      </x:c>
      <x:c r="M30" s="17" t="s">
        <x:v>35</x:v>
      </x:c>
      <x:c r="N30" s="17" t="s">
        <x:v>36</x:v>
      </x:c>
      <x:c r="O30" s="17" t="s">
        <x:v>10</x:v>
      </x:c>
      <x:c r="P30" s="17" t="s">
        <x:v>37</x:v>
      </x:c>
      <x:c r="Q30" s="56"/>
      <x:c r="R30"/>
    </x:row>
    <x:row r="31" s="16" customFormat="1">
      <x:c r="A31"/>
      <x:c r="B31" s="18" t="s">
        <x:v>38</x:v>
      </x:c>
      <x:c r="C31" s="18" t="s">
        <x:v>55</x:v>
      </x:c>
      <x:c r="D31" s="19" t="str">
        <x:f t="shared" ref="D31:D45" si="2">$B$1</x:f>
        <x:v>SDJC 2.0 x5N(E)</x:v>
      </x:c>
      <x:c r="E31" s="20" t="s">
        <x:v>53</x:v>
      </x:c>
      <x:c r="F31" s="18">
        <x:v>60628</x:v>
      </x:c>
      <x:c r="G31" s="18">
        <x:v>61213</x:v>
      </x:c>
      <x:c r="H31" s="21">
        <x:v>0.65555555555555556</x:v>
      </x:c>
      <x:c r="I31" s="20">
        <x:v>3</x:v>
      </x:c>
      <x:c r="J31" s="20">
        <x:v>1</x:v>
      </x:c>
      <x:c r="K31" s="10">
        <x:v>0</x:v>
      </x:c>
      <x:c r="L31" s="10">
        <x:v>0</x:v>
      </x:c>
      <x:c r="M31" s="10">
        <x:v>0</x:v>
      </x:c>
      <x:c r="N31" s="10" t="n">
        <x:f>L31+M31</x:f>
        <x:v>0</x:v>
      </x:c>
      <x:c r="O31" s="10">
        <x:v>0</x:v>
      </x:c>
      <x:c r="P31" s="10">
        <x:v>0</x:v>
      </x:c>
      <x:c r="Q31" s="20" t="s">
        <x:v>43</x:v>
      </x:c>
      <x:c r="R31"/>
    </x:row>
    <x:row r="32" s="16" customFormat="1">
      <x:c r="A32"/>
      <x:c r="B32" s="18"/>
      <x:c r="C32" s="18" t="s">
        <x:v>55</x:v>
      </x:c>
      <x:c r="D32" s="19" t="str">
        <x:f t="shared" si="2"/>
        <x:v>SDJC 2.0 x5N(E)</x:v>
      </x:c>
      <x:c r="E32" s="20" t="s">
        <x:v>53</x:v>
      </x:c>
      <x:c r="F32" s="18">
        <x:v>60628</x:v>
      </x:c>
      <x:c r="G32" s="18">
        <x:v>61213</x:v>
      </x:c>
      <x:c r="H32" s="21">
        <x:v>0.65555555555555556</x:v>
      </x:c>
      <x:c r="I32" s="20">
        <x:v>6</x:v>
      </x:c>
      <x:c r="J32" s="20">
        <x:v>2</x:v>
      </x:c>
      <x:c r="K32" s="10">
        <x:v>0</x:v>
      </x:c>
      <x:c r="L32" s="10">
        <x:v>0</x:v>
      </x:c>
      <x:c r="M32" s="10">
        <x:v>4</x:v>
      </x:c>
      <x:c r="N32" s="10" t="n">
        <x:f>L32+M32</x:f>
        <x:v>4</x:v>
      </x:c>
      <x:c r="O32" s="10">
        <x:v>0</x:v>
      </x:c>
      <x:c r="P32" s="10">
        <x:v>0</x:v>
      </x:c>
      <x:c r="Q32" s="20" t="s">
        <x:v>43</x:v>
      </x:c>
      <x:c r="R32"/>
    </x:row>
    <x:row r="33" s="16" customFormat="1">
      <x:c r="A33"/>
      <x:c r="B33" s="18"/>
      <x:c r="C33" s="18" t="s">
        <x:v>55</x:v>
      </x:c>
      <x:c r="D33" s="19" t="str">
        <x:f t="shared" si="2"/>
        <x:v>SDJC 2.0 x5N(E)</x:v>
      </x:c>
      <x:c r="E33" s="20" t="s">
        <x:v>53</x:v>
      </x:c>
      <x:c r="F33" s="18">
        <x:v>60628</x:v>
      </x:c>
      <x:c r="G33" s="18">
        <x:v>61213</x:v>
      </x:c>
      <x:c r="H33" s="21">
        <x:v>0.65555555555555556</x:v>
      </x:c>
      <x:c r="I33" s="20">
        <x:v>3</x:v>
      </x:c>
      <x:c r="J33" s="20">
        <x:v>3</x:v>
      </x:c>
      <x:c r="K33" s="10">
        <x:v>0</x:v>
      </x:c>
      <x:c r="L33" s="10">
        <x:v>0</x:v>
      </x:c>
      <x:c r="M33" s="10">
        <x:v>1</x:v>
      </x:c>
      <x:c r="N33" s="10" t="n">
        <x:f t="shared" ref="N33:N45" si="3">L33+M33</x:f>
        <x:v>1</x:v>
      </x:c>
      <x:c r="O33" s="10">
        <x:v>0</x:v>
      </x:c>
      <x:c r="P33" s="10">
        <x:v>0</x:v>
      </x:c>
      <x:c r="Q33" s="20" t="s">
        <x:v>43</x:v>
      </x:c>
      <x:c r="R33"/>
    </x:row>
    <x:row r="34" s="16" customFormat="1">
      <x:c r="A34"/>
      <x:c r="B34" s="20"/>
      <x:c r="C34" s="18" t="s">
        <x:v>55</x:v>
      </x:c>
      <x:c r="D34" s="19" t="str">
        <x:f t="shared" si="2"/>
        <x:v>SDJC 2.0 x5N(E)</x:v>
      </x:c>
      <x:c r="E34" s="20" t="s">
        <x:v>53</x:v>
      </x:c>
      <x:c r="F34" s="18">
        <x:v>60628</x:v>
      </x:c>
      <x:c r="G34" s="18">
        <x:v>61213</x:v>
      </x:c>
      <x:c r="H34" s="21">
        <x:v>0.65555555555555556</x:v>
      </x:c>
      <x:c r="I34" s="20">
        <x:v>6</x:v>
      </x:c>
      <x:c r="J34" s="20">
        <x:v>4</x:v>
      </x:c>
      <x:c r="K34" s="10">
        <x:v>0</x:v>
      </x:c>
      <x:c r="L34" s="10">
        <x:v>0</x:v>
      </x:c>
      <x:c r="M34" s="10">
        <x:v>3</x:v>
      </x:c>
      <x:c r="N34" s="10">
        <x:f t="shared" si="3"/>
        <x:v>3</x:v>
      </x:c>
      <x:c r="O34" s="10">
        <x:v>0</x:v>
      </x:c>
      <x:c r="P34" s="10">
        <x:v>0</x:v>
      </x:c>
      <x:c r="Q34" s="20" t="s">
        <x:v>43</x:v>
      </x:c>
      <x:c r="R34"/>
    </x:row>
    <x:row r="35" s="16" customFormat="1">
      <x:c r="A35"/>
      <x:c r="B35" s="20"/>
      <x:c r="C35" s="18" t="s">
        <x:v>55</x:v>
      </x:c>
      <x:c r="D35" s="19" t="str">
        <x:f t="shared" si="2"/>
        <x:v>SDJC 2.0 x5N(E)</x:v>
      </x:c>
      <x:c r="E35" s="20" t="s">
        <x:v>53</x:v>
      </x:c>
      <x:c r="F35" s="18">
        <x:v>60628</x:v>
      </x:c>
      <x:c r="G35" s="18">
        <x:v>61213</x:v>
      </x:c>
      <x:c r="H35" s="21">
        <x:v>0.65555555555555556</x:v>
      </x:c>
      <x:c r="I35" s="20">
        <x:v>6</x:v>
      </x:c>
      <x:c r="J35" s="20">
        <x:v>5</x:v>
      </x:c>
      <x:c r="K35" s="10">
        <x:v>0</x:v>
      </x:c>
      <x:c r="L35" s="10">
        <x:v>0</x:v>
      </x:c>
      <x:c r="M35" s="10">
        <x:v>1</x:v>
      </x:c>
      <x:c r="N35" s="10">
        <x:f t="shared" si="3"/>
        <x:v>1</x:v>
      </x:c>
      <x:c r="O35" s="10">
        <x:v>0</x:v>
      </x:c>
      <x:c r="P35" s="10">
        <x:v>0</x:v>
      </x:c>
      <x:c r="Q35" s="20" t="s">
        <x:v>43</x:v>
      </x:c>
      <x:c r="R35"/>
    </x:row>
    <x:row r="36" s="16" customFormat="1">
      <x:c r="A36"/>
      <x:c r="B36" s="20"/>
      <x:c r="C36" s="18" t="s">
        <x:v>55</x:v>
      </x:c>
      <x:c r="D36" s="19" t="str">
        <x:f t="shared" si="2"/>
        <x:v>SDJC 2.0 x5N(E)</x:v>
      </x:c>
      <x:c r="E36" s="20" t="s">
        <x:v>53</x:v>
      </x:c>
      <x:c r="F36" s="18">
        <x:v>60628</x:v>
      </x:c>
      <x:c r="G36" s="18">
        <x:v>61213</x:v>
      </x:c>
      <x:c r="H36" s="21">
        <x:v>0.65555555555555556</x:v>
      </x:c>
      <x:c r="I36" s="20">
        <x:v>3</x:v>
      </x:c>
      <x:c r="J36" s="20">
        <x:v>6</x:v>
      </x:c>
      <x:c r="K36" s="10">
        <x:v>0</x:v>
      </x:c>
      <x:c r="L36" s="10">
        <x:v>0</x:v>
      </x:c>
      <x:c r="M36" s="10">
        <x:v>2</x:v>
      </x:c>
      <x:c r="N36" s="10">
        <x:f t="shared" si="3"/>
        <x:v>2</x:v>
      </x:c>
      <x:c r="O36" s="10">
        <x:v>0</x:v>
      </x:c>
      <x:c r="P36" s="10">
        <x:v>0</x:v>
      </x:c>
      <x:c r="Q36" s="20" t="s">
        <x:v>43</x:v>
      </x:c>
      <x:c r="R36"/>
    </x:row>
    <x:row r="37" s="16" customFormat="1">
      <x:c r="A37"/>
      <x:c r="B37" s="18"/>
      <x:c r="C37" s="18" t="s">
        <x:v>55</x:v>
      </x:c>
      <x:c r="D37" s="19" t="str">
        <x:f t="shared" si="2"/>
        <x:v>SDJC 2.0 x5N(E)</x:v>
      </x:c>
      <x:c r="E37" s="20" t="s">
        <x:v>53</x:v>
      </x:c>
      <x:c r="F37" s="18">
        <x:v>60628</x:v>
      </x:c>
      <x:c r="G37" s="18">
        <x:v>61213</x:v>
      </x:c>
      <x:c r="H37" s="21">
        <x:v>0.65555555555555556</x:v>
      </x:c>
      <x:c r="I37" s="20">
        <x:v>6</x:v>
      </x:c>
      <x:c r="J37" s="20">
        <x:v>7</x:v>
      </x:c>
      <x:c r="K37" s="10">
        <x:v>0</x:v>
      </x:c>
      <x:c r="L37" s="10">
        <x:v>0</x:v>
      </x:c>
      <x:c r="M37" s="10">
        <x:v>4</x:v>
      </x:c>
      <x:c r="N37" s="10">
        <x:f t="shared" si="3"/>
        <x:v>4</x:v>
      </x:c>
      <x:c r="O37" s="10">
        <x:v>0</x:v>
      </x:c>
      <x:c r="P37" s="10">
        <x:v>0</x:v>
      </x:c>
      <x:c r="Q37" s="20" t="s">
        <x:v>43</x:v>
      </x:c>
      <x:c r="R37"/>
    </x:row>
    <x:row r="38" s="16" customFormat="1">
      <x:c r="A38"/>
      <x:c r="B38" s="18"/>
      <x:c r="C38" s="18" t="s">
        <x:v>55</x:v>
      </x:c>
      <x:c r="D38" s="19" t="str">
        <x:f t="shared" si="2"/>
        <x:v>SDJC 2.0 x5N(E)</x:v>
      </x:c>
      <x:c r="E38" s="20" t="s">
        <x:v>53</x:v>
      </x:c>
      <x:c r="F38" s="18">
        <x:v>60628</x:v>
      </x:c>
      <x:c r="G38" s="18">
        <x:v>61213</x:v>
      </x:c>
      <x:c r="H38" s="21">
        <x:v>0.65555555555555556</x:v>
      </x:c>
      <x:c r="I38" s="20">
        <x:v>3</x:v>
      </x:c>
      <x:c r="J38" s="20">
        <x:v>8</x:v>
      </x:c>
      <x:c r="K38" s="10">
        <x:v>0</x:v>
      </x:c>
      <x:c r="L38" s="10">
        <x:v>0</x:v>
      </x:c>
      <x:c r="M38" s="10">
        <x:v>1</x:v>
      </x:c>
      <x:c r="N38" s="10">
        <x:f t="shared" si="3"/>
        <x:v>1</x:v>
      </x:c>
      <x:c r="O38" s="10">
        <x:v>0</x:v>
      </x:c>
      <x:c r="P38" s="10">
        <x:v>0</x:v>
      </x:c>
      <x:c r="Q38" s="20" t="s">
        <x:v>43</x:v>
      </x:c>
      <x:c r="R38"/>
    </x:row>
    <x:row r="39" s="16" customFormat="1">
      <x:c r="A39"/>
      <x:c r="B39" s="18"/>
      <x:c r="C39" s="18" t="s">
        <x:v>55</x:v>
      </x:c>
      <x:c r="D39" s="19" t="str">
        <x:f t="shared" si="2"/>
        <x:v>SDJC 2.0 x5N(E)</x:v>
      </x:c>
      <x:c r="E39" s="20" t="s">
        <x:v>53</x:v>
      </x:c>
      <x:c r="F39" s="18">
        <x:v>60628</x:v>
      </x:c>
      <x:c r="G39" s="18">
        <x:v>61213</x:v>
      </x:c>
      <x:c r="H39" s="21">
        <x:v>0.65555555555555556</x:v>
      </x:c>
      <x:c r="I39" s="20">
        <x:v>6</x:v>
      </x:c>
      <x:c r="J39" s="20">
        <x:v>9</x:v>
      </x:c>
      <x:c r="K39" s="10">
        <x:v>0</x:v>
      </x:c>
      <x:c r="L39" s="10">
        <x:v>0</x:v>
      </x:c>
      <x:c r="M39" s="10">
        <x:v>5</x:v>
      </x:c>
      <x:c r="N39" s="10">
        <x:f t="shared" si="3"/>
        <x:v>5</x:v>
      </x:c>
      <x:c r="O39" s="10">
        <x:v>0</x:v>
      </x:c>
      <x:c r="P39" s="10">
        <x:v>0</x:v>
      </x:c>
      <x:c r="Q39" s="20" t="s">
        <x:v>43</x:v>
      </x:c>
      <x:c r="R39"/>
    </x:row>
    <x:row r="40" s="16" customFormat="1">
      <x:c r="A40"/>
      <x:c r="B40" s="20"/>
      <x:c r="C40" s="18" t="s">
        <x:v>55</x:v>
      </x:c>
      <x:c r="D40" s="19" t="str">
        <x:f t="shared" si="2"/>
        <x:v>SDJC 2.0 x5N(E)</x:v>
      </x:c>
      <x:c r="E40" s="20" t="s">
        <x:v>53</x:v>
      </x:c>
      <x:c r="F40" s="18">
        <x:v>60628</x:v>
      </x:c>
      <x:c r="G40" s="18">
        <x:v>61213</x:v>
      </x:c>
      <x:c r="H40" s="21">
        <x:v>0.65555555555555556</x:v>
      </x:c>
      <x:c r="I40" s="20">
        <x:v>3</x:v>
      </x:c>
      <x:c r="J40" s="20">
        <x:v>10</x:v>
      </x:c>
      <x:c r="K40" s="10">
        <x:v>0</x:v>
      </x:c>
      <x:c r="L40" s="10">
        <x:v>0</x:v>
      </x:c>
      <x:c r="M40" s="10">
        <x:v>1</x:v>
      </x:c>
      <x:c r="N40" s="10">
        <x:f t="shared" si="3"/>
        <x:v>1</x:v>
      </x:c>
      <x:c r="O40" s="10">
        <x:v>1</x:v>
      </x:c>
      <x:c r="P40" s="10">
        <x:v>0</x:v>
      </x:c>
      <x:c r="Q40" s="20" t="s">
        <x:v>43</x:v>
      </x:c>
      <x:c r="R40"/>
    </x:row>
    <x:row r="41" s="16" customFormat="1">
      <x:c r="A41"/>
      <x:c r="B41" s="20"/>
      <x:c r="C41" s="18" t="s">
        <x:v>55</x:v>
      </x:c>
      <x:c r="D41" s="19" t="str">
        <x:f t="shared" si="2"/>
        <x:v>SDJC 2.0 x5N(E)</x:v>
      </x:c>
      <x:c r="E41" s="20" t="s">
        <x:v>53</x:v>
      </x:c>
      <x:c r="F41" s="18">
        <x:v>60628</x:v>
      </x:c>
      <x:c r="G41" s="18">
        <x:v>61213</x:v>
      </x:c>
      <x:c r="H41" s="21">
        <x:v>0.65555555555555556</x:v>
      </x:c>
      <x:c r="I41" s="20">
        <x:v>3</x:v>
      </x:c>
      <x:c r="J41" s="20">
        <x:v>11</x:v>
      </x:c>
      <x:c r="K41" s="10">
        <x:v>0</x:v>
      </x:c>
      <x:c r="L41" s="10">
        <x:v>0</x:v>
      </x:c>
      <x:c r="M41" s="10">
        <x:v>0</x:v>
      </x:c>
      <x:c r="N41" s="10">
        <x:f t="shared" si="3"/>
        <x:v>0</x:v>
      </x:c>
      <x:c r="O41" s="10">
        <x:v>0</x:v>
      </x:c>
      <x:c r="P41" s="10">
        <x:v>0</x:v>
      </x:c>
      <x:c r="Q41" s="20" t="s">
        <x:v>43</x:v>
      </x:c>
      <x:c r="R41"/>
    </x:row>
    <x:row r="42" s="16" customFormat="1">
      <x:c r="A42"/>
      <x:c r="B42" s="20"/>
      <x:c r="C42" s="18" t="s">
        <x:v>55</x:v>
      </x:c>
      <x:c r="D42" s="19" t="str">
        <x:f t="shared" si="2"/>
        <x:v>SDJC 2.0 x5N(E)</x:v>
      </x:c>
      <x:c r="E42" s="20" t="s">
        <x:v>53</x:v>
      </x:c>
      <x:c r="F42" s="18">
        <x:v>60628</x:v>
      </x:c>
      <x:c r="G42" s="18">
        <x:v>61213</x:v>
      </x:c>
      <x:c r="H42" s="21">
        <x:v>0.65555555555555556</x:v>
      </x:c>
      <x:c r="I42" s="20">
        <x:v>3</x:v>
      </x:c>
      <x:c r="J42" s="20">
        <x:v>12</x:v>
      </x:c>
      <x:c r="K42" s="10">
        <x:v>0</x:v>
      </x:c>
      <x:c r="L42" s="10">
        <x:v>0</x:v>
      </x:c>
      <x:c r="M42" s="10">
        <x:v>0</x:v>
      </x:c>
      <x:c r="N42" s="10">
        <x:f t="shared" si="3"/>
        <x:v>0</x:v>
      </x:c>
      <x:c r="O42" s="10">
        <x:v>0</x:v>
      </x:c>
      <x:c r="P42" s="10">
        <x:v>0</x:v>
      </x:c>
      <x:c r="Q42" s="20" t="s">
        <x:v>43</x:v>
      </x:c>
      <x:c r="R42"/>
    </x:row>
    <x:row r="43" s="16" customFormat="1">
      <x:c r="A43"/>
      <x:c r="B43" s="20"/>
      <x:c r="C43" s="18" t="s">
        <x:v>55</x:v>
      </x:c>
      <x:c r="D43" s="19" t="str">
        <x:f t="shared" si="2"/>
        <x:v>SDJC 2.0 x5N(E)</x:v>
      </x:c>
      <x:c r="E43" s="20" t="s">
        <x:v>53</x:v>
      </x:c>
      <x:c r="F43" s="18">
        <x:v>60628</x:v>
      </x:c>
      <x:c r="G43" s="18">
        <x:v>61213</x:v>
      </x:c>
      <x:c r="H43" s="21">
        <x:v>0.65555555555555556</x:v>
      </x:c>
      <x:c r="I43" s="20">
        <x:v>6</x:v>
      </x:c>
      <x:c r="J43" s="20">
        <x:v>13</x:v>
      </x:c>
      <x:c r="K43" s="10">
        <x:v>0</x:v>
      </x:c>
      <x:c r="L43" s="10">
        <x:v>0</x:v>
      </x:c>
      <x:c r="M43" s="10">
        <x:v>2</x:v>
      </x:c>
      <x:c r="N43" s="10">
        <x:f t="shared" si="3"/>
        <x:v>2</x:v>
      </x:c>
      <x:c r="O43" s="10">
        <x:v>0</x:v>
      </x:c>
      <x:c r="P43" s="10">
        <x:v>0</x:v>
      </x:c>
      <x:c r="Q43" s="20" t="s">
        <x:v>43</x:v>
      </x:c>
      <x:c r="R43"/>
    </x:row>
    <x:row r="44" s="16" customFormat="1">
      <x:c r="A44"/>
      <x:c r="B44" s="20"/>
      <x:c r="C44" s="18" t="s">
        <x:v>55</x:v>
      </x:c>
      <x:c r="D44" s="19" t="str">
        <x:f t="shared" si="2"/>
        <x:v>SDJC 2.0 x5N(E)</x:v>
      </x:c>
      <x:c r="E44" s="20" t="s">
        <x:v>53</x:v>
      </x:c>
      <x:c r="F44" s="18">
        <x:v>60628</x:v>
      </x:c>
      <x:c r="G44" s="18">
        <x:v>61213</x:v>
      </x:c>
      <x:c r="H44" s="21">
        <x:v>0.65555555555555556</x:v>
      </x:c>
      <x:c r="I44" s="20">
        <x:v>3</x:v>
      </x:c>
      <x:c r="J44" s="20">
        <x:v>14</x:v>
      </x:c>
      <x:c r="K44" s="10">
        <x:v>0</x:v>
      </x:c>
      <x:c r="L44" s="10">
        <x:v>0</x:v>
      </x:c>
      <x:c r="M44" s="10">
        <x:v>1</x:v>
      </x:c>
      <x:c r="N44" s="10">
        <x:f t="shared" si="3"/>
        <x:v>1</x:v>
      </x:c>
      <x:c r="O44" s="10">
        <x:v>0</x:v>
      </x:c>
      <x:c r="P44" s="10">
        <x:v>0</x:v>
      </x:c>
      <x:c r="Q44" s="20" t="s">
        <x:v>43</x:v>
      </x:c>
      <x:c r="R44"/>
    </x:row>
    <x:row r="45" s="16" customFormat="1">
      <x:c r="A45"/>
      <x:c r="B45" s="20"/>
      <x:c r="C45" s="18" t="s">
        <x:v>55</x:v>
      </x:c>
      <x:c r="D45" s="19" t="str">
        <x:f t="shared" si="2"/>
        <x:v>SDJC 2.0 x5N(E)</x:v>
      </x:c>
      <x:c r="E45" s="20" t="s">
        <x:v>53</x:v>
      </x:c>
      <x:c r="F45" s="18">
        <x:v>60628</x:v>
      </x:c>
      <x:c r="G45" s="18">
        <x:v>61213</x:v>
      </x:c>
      <x:c r="H45" s="21">
        <x:v>0.65555555555555556</x:v>
      </x:c>
      <x:c r="I45" s="20">
        <x:v>6</x:v>
      </x:c>
      <x:c r="J45" s="20">
        <x:v>15</x:v>
      </x:c>
      <x:c r="K45" s="10">
        <x:v>0</x:v>
      </x:c>
      <x:c r="L45" s="10">
        <x:v>0</x:v>
      </x:c>
      <x:c r="M45" s="10">
        <x:v>3</x:v>
      </x:c>
      <x:c r="N45" s="10">
        <x:f t="shared" si="3"/>
        <x:v>3</x:v>
      </x:c>
      <x:c r="O45" s="10">
        <x:v>0</x:v>
      </x:c>
      <x:c r="P45" s="10">
        <x:v>0</x:v>
      </x:c>
      <x:c r="Q45" s="20" t="s">
        <x:v>43</x:v>
      </x:c>
      <x:c r="R45"/>
    </x:row>
    <x:row r="46" s="16" customFormat="1">
      <x:c r="A46"/>
      <x:c r="F46" s="22"/>
      <x:c r="H46" s="23"/>
      <x:c r="I46" s="23"/>
      <x:c r="J46" s="23"/>
      <x:c r="K46" s="24"/>
      <x:c r="L46" s="24"/>
      <x:c r="M46" s="24"/>
      <x:c r="N46" s="24"/>
      <x:c r="O46" s="24"/>
      <x:c r="P46" s="24"/>
      <x:c r="R46"/>
    </x:row>
    <x:row r="47" s="16" customFormat="1">
      <x:c r="A47"/>
      <x:c r="F47" s="22"/>
      <x:c r="H47" s="23"/>
      <x:c r="I47" s="23"/>
      <x:c r="J47" s="23"/>
      <x:c r="K47" s="24"/>
      <x:c r="L47" s="24"/>
      <x:c r="M47" s="24"/>
      <x:c r="N47" s="24"/>
      <x:c r="O47" s="24"/>
      <x:c r="P47" s="24"/>
      <x:c r="R47"/>
    </x:row>
    <x:row r="48" s="16" customFormat="1">
      <x:c r="A48"/>
      <x:c r="F48" s="22"/>
      <x:c r="H48" s="23"/>
      <x:c r="I48" s="23"/>
      <x:c r="J48" s="23"/>
      <x:c r="K48" s="24"/>
      <x:c r="L48" s="24"/>
      <x:c r="M48" s="24"/>
      <x:c r="N48" s="24"/>
      <x:c r="O48" s="24"/>
      <x:c r="P48" s="24"/>
      <x:c r="R48"/>
    </x:row>
    <x:row r="49" s="16" customFormat="1" ht="14.550000190734863" customHeight="1">
      <x:c r="A49"/>
      <x:c r="B49" s="57" t="s">
        <x:v>20</x:v>
      </x:c>
      <x:c r="C49" s="57" t="s">
        <x:v>21</x:v>
      </x:c>
      <x:c r="D49" s="56" t="s">
        <x:v>22</x:v>
      </x:c>
      <x:c r="E49" s="9" t="s">
        <x:v>23</x:v>
      </x:c>
      <x:c r="F49" s="14" t="s">
        <x:v>24</x:v>
      </x:c>
      <x:c r="G49" s="9" t="s">
        <x:v>24</x:v>
      </x:c>
      <x:c r="H49" s="58" t="s">
        <x:v>25</x:v>
      </x:c>
      <x:c r="I49" s="15"/>
      <x:c r="J49" s="15"/>
      <x:c r="K49" s="59" t="s">
        <x:v>26</x:v>
      </x:c>
      <x:c r="L49" s="59"/>
      <x:c r="M49" s="59"/>
      <x:c r="N49" s="59"/>
      <x:c r="O49" s="59"/>
      <x:c r="P49" s="59"/>
      <x:c r="Q49" s="56" t="s">
        <x:v>27</x:v>
      </x:c>
      <x:c r="R49"/>
    </x:row>
    <x:row r="50" s="16" customFormat="1" ht="28.799999237060547">
      <x:c r="A50"/>
      <x:c r="B50" s="56"/>
      <x:c r="C50" s="56"/>
      <x:c r="D50" s="56"/>
      <x:c r="E50" s="7" t="s">
        <x:v>28</x:v>
      </x:c>
      <x:c r="F50" s="8" t="s">
        <x:v>29</x:v>
      </x:c>
      <x:c r="G50" s="8" t="s">
        <x:v>30</x:v>
      </x:c>
      <x:c r="H50" s="58"/>
      <x:c r="I50" s="15" t="s">
        <x:v>31</x:v>
      </x:c>
      <x:c r="J50" s="15" t="s">
        <x:v>32</x:v>
      </x:c>
      <x:c r="K50" s="17" t="s">
        <x:v>33</x:v>
      </x:c>
      <x:c r="L50" s="17" t="s">
        <x:v>34</x:v>
      </x:c>
      <x:c r="M50" s="17" t="s">
        <x:v>35</x:v>
      </x:c>
      <x:c r="N50" s="17" t="s">
        <x:v>36</x:v>
      </x:c>
      <x:c r="O50" s="17" t="s">
        <x:v>10</x:v>
      </x:c>
      <x:c r="P50" s="17" t="s">
        <x:v>37</x:v>
      </x:c>
      <x:c r="Q50" s="56"/>
      <x:c r="R50"/>
    </x:row>
    <x:row r="51" s="16" customFormat="1">
      <x:c r="A51"/>
      <x:c r="B51" s="18" t="s">
        <x:v>38</x:v>
      </x:c>
      <x:c r="C51" s="18" t="s">
        <x:v>55</x:v>
      </x:c>
      <x:c r="D51" s="19" t="str">
        <x:f t="shared" ref="D51:D65" si="4">$B$1</x:f>
        <x:v>SDJC 2.0 x5N(E)</x:v>
      </x:c>
      <x:c r="E51" s="20" t="s">
        <x:v>53</x:v>
      </x:c>
      <x:c r="F51" s="18">
        <x:v>60628</x:v>
      </x:c>
      <x:c r="G51" s="18">
        <x:v>61213</x:v>
      </x:c>
      <x:c r="H51" s="21">
        <x:v>0.65555555555555556</x:v>
      </x:c>
      <x:c r="I51" s="20">
        <x:v>6</x:v>
      </x:c>
      <x:c r="J51" s="20">
        <x:v>1</x:v>
      </x:c>
      <x:c r="K51" s="10">
        <x:v>0</x:v>
      </x:c>
      <x:c r="L51" s="10">
        <x:v>0</x:v>
      </x:c>
      <x:c r="M51" s="10">
        <x:v>2</x:v>
      </x:c>
      <x:c r="N51" s="10" t="n">
        <x:f>L51+M51</x:f>
        <x:v>2</x:v>
      </x:c>
      <x:c r="O51" s="10">
        <x:v>0</x:v>
      </x:c>
      <x:c r="P51" s="10">
        <x:v>0</x:v>
      </x:c>
      <x:c r="Q51" s="20" t="s">
        <x:v>44</x:v>
      </x:c>
      <x:c r="R51"/>
    </x:row>
    <x:row r="52" s="16" customFormat="1">
      <x:c r="A52"/>
      <x:c r="B52" s="18"/>
      <x:c r="C52" s="18" t="s">
        <x:v>55</x:v>
      </x:c>
      <x:c r="D52" s="19" t="str">
        <x:f t="shared" si="4"/>
        <x:v>SDJC 2.0 x5N(E)</x:v>
      </x:c>
      <x:c r="E52" s="20" t="s">
        <x:v>53</x:v>
      </x:c>
      <x:c r="F52" s="18">
        <x:v>60628</x:v>
      </x:c>
      <x:c r="G52" s="18">
        <x:v>61213</x:v>
      </x:c>
      <x:c r="H52" s="21">
        <x:v>0.65555555555555556</x:v>
      </x:c>
      <x:c r="I52" s="20">
        <x:v>3</x:v>
      </x:c>
      <x:c r="J52" s="20">
        <x:v>2</x:v>
      </x:c>
      <x:c r="K52" s="10">
        <x:v>0</x:v>
      </x:c>
      <x:c r="L52" s="10">
        <x:v>0</x:v>
      </x:c>
      <x:c r="M52" s="10">
        <x:v>2</x:v>
      </x:c>
      <x:c r="N52" s="10" t="n">
        <x:f>L52+M52</x:f>
        <x:v>2</x:v>
      </x:c>
      <x:c r="O52" s="10">
        <x:v>0</x:v>
      </x:c>
      <x:c r="P52" s="10">
        <x:v>0</x:v>
      </x:c>
      <x:c r="Q52" s="20" t="s">
        <x:v>44</x:v>
      </x:c>
      <x:c r="R52"/>
    </x:row>
    <x:row r="53" s="16" customFormat="1">
      <x:c r="A53"/>
      <x:c r="B53" s="18"/>
      <x:c r="C53" s="18" t="s">
        <x:v>55</x:v>
      </x:c>
      <x:c r="D53" s="19" t="str">
        <x:f t="shared" si="4"/>
        <x:v>SDJC 2.0 x5N(E)</x:v>
      </x:c>
      <x:c r="E53" s="20" t="s">
        <x:v>53</x:v>
      </x:c>
      <x:c r="F53" s="18">
        <x:v>60628</x:v>
      </x:c>
      <x:c r="G53" s="18">
        <x:v>61213</x:v>
      </x:c>
      <x:c r="H53" s="21">
        <x:v>0.65555555555555556</x:v>
      </x:c>
      <x:c r="I53" s="20">
        <x:v>6</x:v>
      </x:c>
      <x:c r="J53" s="20">
        <x:v>3</x:v>
      </x:c>
      <x:c r="K53" s="10">
        <x:v>0</x:v>
      </x:c>
      <x:c r="L53" s="10">
        <x:v>0</x:v>
      </x:c>
      <x:c r="M53" s="10">
        <x:v>4</x:v>
      </x:c>
      <x:c r="N53" s="10" t="n">
        <x:f t="shared" ref="N53:N65" si="5">L53+M53</x:f>
        <x:v>4</x:v>
      </x:c>
      <x:c r="O53" s="10">
        <x:v>0</x:v>
      </x:c>
      <x:c r="P53" s="10">
        <x:v>0</x:v>
      </x:c>
      <x:c r="Q53" s="20" t="s">
        <x:v>44</x:v>
      </x:c>
      <x:c r="R53"/>
    </x:row>
    <x:row r="54" s="16" customFormat="1">
      <x:c r="A54"/>
      <x:c r="B54" s="20"/>
      <x:c r="C54" s="18" t="s">
        <x:v>55</x:v>
      </x:c>
      <x:c r="D54" s="19" t="str">
        <x:f t="shared" si="4"/>
        <x:v>SDJC 2.0 x5N(E)</x:v>
      </x:c>
      <x:c r="E54" s="20" t="s">
        <x:v>53</x:v>
      </x:c>
      <x:c r="F54" s="18">
        <x:v>60628</x:v>
      </x:c>
      <x:c r="G54" s="18">
        <x:v>61213</x:v>
      </x:c>
      <x:c r="H54" s="21">
        <x:v>0.65555555555555556</x:v>
      </x:c>
      <x:c r="I54" s="20">
        <x:v>3</x:v>
      </x:c>
      <x:c r="J54" s="20">
        <x:v>4</x:v>
      </x:c>
      <x:c r="K54" s="10">
        <x:v>0</x:v>
      </x:c>
      <x:c r="L54" s="10">
        <x:v>0</x:v>
      </x:c>
      <x:c r="M54" s="10">
        <x:v>3</x:v>
      </x:c>
      <x:c r="N54" s="10">
        <x:f t="shared" si="5"/>
        <x:v>3</x:v>
      </x:c>
      <x:c r="O54" s="10">
        <x:v>0</x:v>
      </x:c>
      <x:c r="P54" s="10">
        <x:v>0</x:v>
      </x:c>
      <x:c r="Q54" s="20" t="s">
        <x:v>44</x:v>
      </x:c>
      <x:c r="R54"/>
    </x:row>
    <x:row r="55" s="16" customFormat="1">
      <x:c r="A55"/>
      <x:c r="B55" s="20"/>
      <x:c r="C55" s="18" t="s">
        <x:v>55</x:v>
      </x:c>
      <x:c r="D55" s="19" t="str">
        <x:f t="shared" si="4"/>
        <x:v>SDJC 2.0 x5N(E)</x:v>
      </x:c>
      <x:c r="E55" s="20" t="s">
        <x:v>53</x:v>
      </x:c>
      <x:c r="F55" s="18">
        <x:v>60628</x:v>
      </x:c>
      <x:c r="G55" s="18">
        <x:v>61213</x:v>
      </x:c>
      <x:c r="H55" s="21">
        <x:v>0.65555555555555556</x:v>
      </x:c>
      <x:c r="I55" s="20">
        <x:v>6</x:v>
      </x:c>
      <x:c r="J55" s="20">
        <x:v>5</x:v>
      </x:c>
      <x:c r="K55" s="10">
        <x:v>0</x:v>
      </x:c>
      <x:c r="L55" s="10">
        <x:v>0</x:v>
      </x:c>
      <x:c r="M55" s="10">
        <x:v>3</x:v>
      </x:c>
      <x:c r="N55" s="10">
        <x:f t="shared" si="5"/>
        <x:v>3</x:v>
      </x:c>
      <x:c r="O55" s="10">
        <x:v>0</x:v>
      </x:c>
      <x:c r="P55" s="10">
        <x:v>0</x:v>
      </x:c>
      <x:c r="Q55" s="20" t="s">
        <x:v>44</x:v>
      </x:c>
      <x:c r="R55"/>
    </x:row>
    <x:row r="56" s="16" customFormat="1">
      <x:c r="A56"/>
      <x:c r="B56" s="20"/>
      <x:c r="C56" s="18" t="s">
        <x:v>55</x:v>
      </x:c>
      <x:c r="D56" s="19" t="str">
        <x:f t="shared" si="4"/>
        <x:v>SDJC 2.0 x5N(E)</x:v>
      </x:c>
      <x:c r="E56" s="20" t="s">
        <x:v>53</x:v>
      </x:c>
      <x:c r="F56" s="18">
        <x:v>60628</x:v>
      </x:c>
      <x:c r="G56" s="18">
        <x:v>61213</x:v>
      </x:c>
      <x:c r="H56" s="21">
        <x:v>0.65555555555555556</x:v>
      </x:c>
      <x:c r="I56" s="20">
        <x:v>3</x:v>
      </x:c>
      <x:c r="J56" s="20">
        <x:v>6</x:v>
      </x:c>
      <x:c r="K56" s="10">
        <x:v>0</x:v>
      </x:c>
      <x:c r="L56" s="10">
        <x:v>0</x:v>
      </x:c>
      <x:c r="M56" s="10">
        <x:v>2</x:v>
      </x:c>
      <x:c r="N56" s="10">
        <x:f t="shared" si="5"/>
        <x:v>2</x:v>
      </x:c>
      <x:c r="O56" s="10">
        <x:v>0</x:v>
      </x:c>
      <x:c r="P56" s="10">
        <x:v>0</x:v>
      </x:c>
      <x:c r="Q56" s="20" t="s">
        <x:v>44</x:v>
      </x:c>
      <x:c r="R56"/>
    </x:row>
    <x:row r="57" s="16" customFormat="1">
      <x:c r="A57"/>
      <x:c r="B57" s="18"/>
      <x:c r="C57" s="18" t="s">
        <x:v>55</x:v>
      </x:c>
      <x:c r="D57" s="19" t="str">
        <x:f t="shared" si="4"/>
        <x:v>SDJC 2.0 x5N(E)</x:v>
      </x:c>
      <x:c r="E57" s="20" t="s">
        <x:v>53</x:v>
      </x:c>
      <x:c r="F57" s="18">
        <x:v>60628</x:v>
      </x:c>
      <x:c r="G57" s="18">
        <x:v>61213</x:v>
      </x:c>
      <x:c r="H57" s="21">
        <x:v>0.65555555555555556</x:v>
      </x:c>
      <x:c r="I57" s="20">
        <x:v>6</x:v>
      </x:c>
      <x:c r="J57" s="20">
        <x:v>7</x:v>
      </x:c>
      <x:c r="K57" s="10">
        <x:v>0</x:v>
      </x:c>
      <x:c r="L57" s="10">
        <x:v>0</x:v>
      </x:c>
      <x:c r="M57" s="10">
        <x:v>3</x:v>
      </x:c>
      <x:c r="N57" s="10">
        <x:f t="shared" si="5"/>
        <x:v>3</x:v>
      </x:c>
      <x:c r="O57" s="10">
        <x:v>1</x:v>
      </x:c>
      <x:c r="P57" s="10">
        <x:v>0</x:v>
      </x:c>
      <x:c r="Q57" s="20" t="s">
        <x:v>44</x:v>
      </x:c>
      <x:c r="R57"/>
    </x:row>
    <x:row r="58" s="16" customFormat="1">
      <x:c r="A58"/>
      <x:c r="B58" s="18"/>
      <x:c r="C58" s="18" t="s">
        <x:v>55</x:v>
      </x:c>
      <x:c r="D58" s="19" t="str">
        <x:f t="shared" si="4"/>
        <x:v>SDJC 2.0 x5N(E)</x:v>
      </x:c>
      <x:c r="E58" s="20" t="s">
        <x:v>53</x:v>
      </x:c>
      <x:c r="F58" s="18">
        <x:v>60628</x:v>
      </x:c>
      <x:c r="G58" s="18">
        <x:v>61213</x:v>
      </x:c>
      <x:c r="H58" s="21">
        <x:v>0.65555555555555556</x:v>
      </x:c>
      <x:c r="I58" s="20">
        <x:v>3</x:v>
      </x:c>
      <x:c r="J58" s="20">
        <x:v>8</x:v>
      </x:c>
      <x:c r="K58" s="10">
        <x:v>0</x:v>
      </x:c>
      <x:c r="L58" s="10">
        <x:v>0</x:v>
      </x:c>
      <x:c r="M58" s="10">
        <x:v>1</x:v>
      </x:c>
      <x:c r="N58" s="10">
        <x:f t="shared" si="5"/>
        <x:v>1</x:v>
      </x:c>
      <x:c r="O58" s="10">
        <x:v>0</x:v>
      </x:c>
      <x:c r="P58" s="10">
        <x:v>0</x:v>
      </x:c>
      <x:c r="Q58" s="20" t="s">
        <x:v>44</x:v>
      </x:c>
      <x:c r="R58"/>
    </x:row>
    <x:row r="59" s="16" customFormat="1">
      <x:c r="A59"/>
      <x:c r="B59" s="18"/>
      <x:c r="C59" s="18" t="s">
        <x:v>55</x:v>
      </x:c>
      <x:c r="D59" s="19" t="str">
        <x:f t="shared" si="4"/>
        <x:v>SDJC 2.0 x5N(E)</x:v>
      </x:c>
      <x:c r="E59" s="20" t="s">
        <x:v>53</x:v>
      </x:c>
      <x:c r="F59" s="18">
        <x:v>60628</x:v>
      </x:c>
      <x:c r="G59" s="18">
        <x:v>61213</x:v>
      </x:c>
      <x:c r="H59" s="21">
        <x:v>0.65555555555555556</x:v>
      </x:c>
      <x:c r="I59" s="20">
        <x:v>6</x:v>
      </x:c>
      <x:c r="J59" s="20">
        <x:v>9</x:v>
      </x:c>
      <x:c r="K59" s="10">
        <x:v>0</x:v>
      </x:c>
      <x:c r="L59" s="10">
        <x:v>0</x:v>
      </x:c>
      <x:c r="M59" s="10">
        <x:v>2</x:v>
      </x:c>
      <x:c r="N59" s="10">
        <x:f t="shared" si="5"/>
        <x:v>2</x:v>
      </x:c>
      <x:c r="O59" s="10">
        <x:v>0</x:v>
      </x:c>
      <x:c r="P59" s="10">
        <x:v>0</x:v>
      </x:c>
      <x:c r="Q59" s="20" t="s">
        <x:v>44</x:v>
      </x:c>
      <x:c r="R59"/>
    </x:row>
    <x:row r="60" s="16" customFormat="1">
      <x:c r="A60"/>
      <x:c r="B60" s="20"/>
      <x:c r="C60" s="18" t="s">
        <x:v>55</x:v>
      </x:c>
      <x:c r="D60" s="19" t="str">
        <x:f t="shared" si="4"/>
        <x:v>SDJC 2.0 x5N(E)</x:v>
      </x:c>
      <x:c r="E60" s="20" t="s">
        <x:v>53</x:v>
      </x:c>
      <x:c r="F60" s="18">
        <x:v>60628</x:v>
      </x:c>
      <x:c r="G60" s="18">
        <x:v>61213</x:v>
      </x:c>
      <x:c r="H60" s="21">
        <x:v>0.65555555555555556</x:v>
      </x:c>
      <x:c r="I60" s="20">
        <x:v>3</x:v>
      </x:c>
      <x:c r="J60" s="20">
        <x:v>10</x:v>
      </x:c>
      <x:c r="K60" s="10">
        <x:v>0</x:v>
      </x:c>
      <x:c r="L60" s="10">
        <x:v>0</x:v>
      </x:c>
      <x:c r="M60" s="10">
        <x:v>3</x:v>
      </x:c>
      <x:c r="N60" s="10">
        <x:f t="shared" si="5"/>
        <x:v>3</x:v>
      </x:c>
      <x:c r="O60" s="10">
        <x:v>0</x:v>
      </x:c>
      <x:c r="P60" s="10">
        <x:v>0</x:v>
      </x:c>
      <x:c r="Q60" s="20" t="s">
        <x:v>44</x:v>
      </x:c>
      <x:c r="R60"/>
    </x:row>
    <x:row r="61" s="16" customFormat="1">
      <x:c r="A61"/>
      <x:c r="B61" s="20"/>
      <x:c r="C61" s="18" t="s">
        <x:v>55</x:v>
      </x:c>
      <x:c r="D61" s="19" t="str">
        <x:f t="shared" si="4"/>
        <x:v>SDJC 2.0 x5N(E)</x:v>
      </x:c>
      <x:c r="E61" s="20" t="s">
        <x:v>53</x:v>
      </x:c>
      <x:c r="F61" s="18">
        <x:v>60628</x:v>
      </x:c>
      <x:c r="G61" s="18">
        <x:v>61213</x:v>
      </x:c>
      <x:c r="H61" s="21">
        <x:v>0.65555555555555556</x:v>
      </x:c>
      <x:c r="I61" s="20">
        <x:v>6</x:v>
      </x:c>
      <x:c r="J61" s="20">
        <x:v>11</x:v>
      </x:c>
      <x:c r="K61" s="10">
        <x:v>0</x:v>
      </x:c>
      <x:c r="L61" s="10">
        <x:v>0</x:v>
      </x:c>
      <x:c r="M61" s="10">
        <x:v>4</x:v>
      </x:c>
      <x:c r="N61" s="10">
        <x:f t="shared" si="5"/>
        <x:v>4</x:v>
      </x:c>
      <x:c r="O61" s="10">
        <x:v>0</x:v>
      </x:c>
      <x:c r="P61" s="10">
        <x:v>0</x:v>
      </x:c>
      <x:c r="Q61" s="20" t="s">
        <x:v>44</x:v>
      </x:c>
      <x:c r="R61"/>
    </x:row>
    <x:row r="62" s="16" customFormat="1">
      <x:c r="A62"/>
      <x:c r="B62" s="20"/>
      <x:c r="C62" s="18" t="s">
        <x:v>55</x:v>
      </x:c>
      <x:c r="D62" s="19" t="str">
        <x:f t="shared" si="4"/>
        <x:v>SDJC 2.0 x5N(E)</x:v>
      </x:c>
      <x:c r="E62" s="20" t="s">
        <x:v>53</x:v>
      </x:c>
      <x:c r="F62" s="18">
        <x:v>60628</x:v>
      </x:c>
      <x:c r="G62" s="18">
        <x:v>61213</x:v>
      </x:c>
      <x:c r="H62" s="21">
        <x:v>0.65555555555555556</x:v>
      </x:c>
      <x:c r="I62" s="20">
        <x:v>3</x:v>
      </x:c>
      <x:c r="J62" s="20">
        <x:v>12</x:v>
      </x:c>
      <x:c r="K62" s="10">
        <x:v>0</x:v>
      </x:c>
      <x:c r="L62" s="10">
        <x:v>0</x:v>
      </x:c>
      <x:c r="M62" s="10">
        <x:v>3</x:v>
      </x:c>
      <x:c r="N62" s="10">
        <x:f t="shared" si="5"/>
        <x:v>3</x:v>
      </x:c>
      <x:c r="O62" s="10">
        <x:v>0</x:v>
      </x:c>
      <x:c r="P62" s="10">
        <x:v>0</x:v>
      </x:c>
      <x:c r="Q62" s="20" t="s">
        <x:v>44</x:v>
      </x:c>
      <x:c r="R62"/>
    </x:row>
    <x:row r="63" s="16" customFormat="1">
      <x:c r="A63"/>
      <x:c r="B63" s="20"/>
      <x:c r="C63" s="18" t="s">
        <x:v>55</x:v>
      </x:c>
      <x:c r="D63" s="19" t="str">
        <x:f t="shared" si="4"/>
        <x:v>SDJC 2.0 x5N(E)</x:v>
      </x:c>
      <x:c r="E63" s="20" t="s">
        <x:v>53</x:v>
      </x:c>
      <x:c r="F63" s="18">
        <x:v>60628</x:v>
      </x:c>
      <x:c r="G63" s="18">
        <x:v>61213</x:v>
      </x:c>
      <x:c r="H63" s="21">
        <x:v>0.65555555555555556</x:v>
      </x:c>
      <x:c r="I63" s="20">
        <x:v>6</x:v>
      </x:c>
      <x:c r="J63" s="20">
        <x:v>13</x:v>
      </x:c>
      <x:c r="K63" s="10">
        <x:v>0</x:v>
      </x:c>
      <x:c r="L63" s="10">
        <x:v>0</x:v>
      </x:c>
      <x:c r="M63" s="10">
        <x:v>5</x:v>
      </x:c>
      <x:c r="N63" s="10">
        <x:f t="shared" si="5"/>
        <x:v>5</x:v>
      </x:c>
      <x:c r="O63" s="10">
        <x:v>0</x:v>
      </x:c>
      <x:c r="P63" s="10">
        <x:v>0</x:v>
      </x:c>
      <x:c r="Q63" s="20" t="s">
        <x:v>44</x:v>
      </x:c>
      <x:c r="R63"/>
    </x:row>
    <x:row r="64" s="16" customFormat="1">
      <x:c r="A64"/>
      <x:c r="B64" s="20"/>
      <x:c r="C64" s="18" t="s">
        <x:v>55</x:v>
      </x:c>
      <x:c r="D64" s="19" t="str">
        <x:f t="shared" si="4"/>
        <x:v>SDJC 2.0 x5N(E)</x:v>
      </x:c>
      <x:c r="E64" s="20" t="s">
        <x:v>53</x:v>
      </x:c>
      <x:c r="F64" s="18">
        <x:v>60628</x:v>
      </x:c>
      <x:c r="G64" s="18">
        <x:v>61213</x:v>
      </x:c>
      <x:c r="H64" s="21">
        <x:v>0.65555555555555556</x:v>
      </x:c>
      <x:c r="I64" s="20">
        <x:v>3</x:v>
      </x:c>
      <x:c r="J64" s="20">
        <x:v>14</x:v>
      </x:c>
      <x:c r="K64" s="10">
        <x:v>0</x:v>
      </x:c>
      <x:c r="L64" s="10">
        <x:v>0</x:v>
      </x:c>
      <x:c r="M64" s="10">
        <x:v>0</x:v>
      </x:c>
      <x:c r="N64" s="10">
        <x:f t="shared" si="5"/>
        <x:v>0</x:v>
      </x:c>
      <x:c r="O64" s="10">
        <x:v>0</x:v>
      </x:c>
      <x:c r="P64" s="10">
        <x:v>0</x:v>
      </x:c>
      <x:c r="Q64" s="20" t="s">
        <x:v>44</x:v>
      </x:c>
      <x:c r="R64"/>
    </x:row>
    <x:row r="65" s="16" customFormat="1">
      <x:c r="A65"/>
      <x:c r="B65" s="20"/>
      <x:c r="C65" s="18" t="s">
        <x:v>55</x:v>
      </x:c>
      <x:c r="D65" s="19" t="str">
        <x:f t="shared" si="4"/>
        <x:v>SDJC 2.0 x5N(E)</x:v>
      </x:c>
      <x:c r="E65" s="20" t="s">
        <x:v>53</x:v>
      </x:c>
      <x:c r="F65" s="18">
        <x:v>60628</x:v>
      </x:c>
      <x:c r="G65" s="18">
        <x:v>61213</x:v>
      </x:c>
      <x:c r="H65" s="21">
        <x:v>0.65555555555555556</x:v>
      </x:c>
      <x:c r="I65" s="20">
        <x:v>6</x:v>
      </x:c>
      <x:c r="J65" s="20">
        <x:v>15</x:v>
      </x:c>
      <x:c r="K65" s="10">
        <x:v>0</x:v>
      </x:c>
      <x:c r="L65" s="10">
        <x:v>0</x:v>
      </x:c>
      <x:c r="M65" s="10">
        <x:v>4</x:v>
      </x:c>
      <x:c r="N65" s="10">
        <x:f t="shared" si="5"/>
        <x:v>4</x:v>
      </x:c>
      <x:c r="O65" s="10">
        <x:v>0</x:v>
      </x:c>
      <x:c r="P65" s="10">
        <x:v>0</x:v>
      </x:c>
      <x:c r="Q65" s="20" t="s">
        <x:v>44</x:v>
      </x:c>
      <x:c r="R65"/>
    </x:row>
    <x:row r="66" s="16" customFormat="1">
      <x:c r="A66"/>
      <x:c r="F66" s="22"/>
      <x:c r="H66" s="23"/>
      <x:c r="I66" s="23"/>
      <x:c r="J66" s="23"/>
      <x:c r="K66" s="24"/>
      <x:c r="L66" s="24"/>
      <x:c r="M66" s="24"/>
      <x:c r="N66" s="24"/>
      <x:c r="O66" s="24"/>
      <x:c r="P66" s="24"/>
      <x:c r="R66"/>
    </x:row>
    <x:row r="67" s="16" customFormat="1">
      <x:c r="A67"/>
      <x:c r="F67" s="22"/>
      <x:c r="H67" s="23"/>
      <x:c r="I67" s="23"/>
      <x:c r="J67" s="23"/>
      <x:c r="K67" s="24"/>
      <x:c r="L67" s="24"/>
      <x:c r="M67" s="24"/>
      <x:c r="N67" s="24"/>
      <x:c r="O67" s="24"/>
      <x:c r="P67" s="24"/>
      <x:c r="R67"/>
    </x:row>
    <x:row r="68" s="16" customFormat="1">
      <x:c r="A68"/>
      <x:c r="B68" s="57" t="s">
        <x:v>20</x:v>
      </x:c>
      <x:c r="C68" s="57" t="s">
        <x:v>21</x:v>
      </x:c>
      <x:c r="D68" s="56" t="s">
        <x:v>22</x:v>
      </x:c>
      <x:c r="E68" s="9" t="s">
        <x:v>23</x:v>
      </x:c>
      <x:c r="F68" s="14" t="s">
        <x:v>24</x:v>
      </x:c>
      <x:c r="G68" s="9" t="s">
        <x:v>24</x:v>
      </x:c>
      <x:c r="H68" s="58" t="s">
        <x:v>25</x:v>
      </x:c>
      <x:c r="I68" s="15"/>
      <x:c r="J68" s="15"/>
      <x:c r="K68" s="59" t="s">
        <x:v>26</x:v>
      </x:c>
      <x:c r="L68" s="59"/>
      <x:c r="M68" s="59"/>
      <x:c r="N68" s="59"/>
      <x:c r="O68" s="59"/>
      <x:c r="P68" s="59"/>
      <x:c r="Q68" s="56" t="s">
        <x:v>27</x:v>
      </x:c>
      <x:c r="R68"/>
    </x:row>
    <x:row r="69" s="16" customFormat="1" ht="28.799999237060547">
      <x:c r="A69"/>
      <x:c r="B69" s="56"/>
      <x:c r="C69" s="56"/>
      <x:c r="D69" s="56"/>
      <x:c r="E69" s="7" t="s">
        <x:v>28</x:v>
      </x:c>
      <x:c r="F69" s="8" t="s">
        <x:v>29</x:v>
      </x:c>
      <x:c r="G69" s="8" t="s">
        <x:v>30</x:v>
      </x:c>
      <x:c r="H69" s="58"/>
      <x:c r="I69" s="15" t="s">
        <x:v>31</x:v>
      </x:c>
      <x:c r="J69" s="15" t="s">
        <x:v>32</x:v>
      </x:c>
      <x:c r="K69" s="17" t="s">
        <x:v>33</x:v>
      </x:c>
      <x:c r="L69" s="17" t="s">
        <x:v>34</x:v>
      </x:c>
      <x:c r="M69" s="17" t="s">
        <x:v>35</x:v>
      </x:c>
      <x:c r="N69" s="17" t="s">
        <x:v>36</x:v>
      </x:c>
      <x:c r="O69" s="17" t="s">
        <x:v>10</x:v>
      </x:c>
      <x:c r="P69" s="17" t="s">
        <x:v>37</x:v>
      </x:c>
      <x:c r="Q69" s="56"/>
      <x:c r="R69"/>
    </x:row>
    <x:row r="70" s="16" customFormat="1">
      <x:c r="A70"/>
      <x:c r="B70" s="18" t="s">
        <x:v>38</x:v>
      </x:c>
      <x:c r="C70" s="18" t="s">
        <x:v>55</x:v>
      </x:c>
      <x:c r="D70" s="19" t="str">
        <x:f t="shared" ref="D70:D84" si="6">$B$1</x:f>
        <x:v>SDJC 2.0 x5N(E)</x:v>
      </x:c>
      <x:c r="E70" s="20" t="s">
        <x:v>53</x:v>
      </x:c>
      <x:c r="F70" s="18">
        <x:v>60628</x:v>
      </x:c>
      <x:c r="G70" s="18">
        <x:v>61213</x:v>
      </x:c>
      <x:c r="H70" s="21">
        <x:v>0.65555555555555556</x:v>
      </x:c>
      <x:c r="I70" s="20">
        <x:v>3</x:v>
      </x:c>
      <x:c r="J70" s="20">
        <x:v>1</x:v>
      </x:c>
      <x:c r="K70" s="10">
        <x:v>0</x:v>
      </x:c>
      <x:c r="L70" s="10">
        <x:v>0</x:v>
      </x:c>
      <x:c r="M70" s="10">
        <x:v>0</x:v>
      </x:c>
      <x:c r="N70" s="10" t="n">
        <x:f>L70+M70</x:f>
        <x:v>0</x:v>
      </x:c>
      <x:c r="O70" s="10">
        <x:v>0</x:v>
      </x:c>
      <x:c r="P70" s="10">
        <x:v>0</x:v>
      </x:c>
      <x:c r="Q70" s="20" t="s">
        <x:v>45</x:v>
      </x:c>
      <x:c r="R70"/>
    </x:row>
    <x:row r="71" s="16" customFormat="1">
      <x:c r="A71"/>
      <x:c r="B71" s="18"/>
      <x:c r="C71" s="18" t="s">
        <x:v>55</x:v>
      </x:c>
      <x:c r="D71" s="19" t="str">
        <x:f t="shared" si="6"/>
        <x:v>SDJC 2.0 x5N(E)</x:v>
      </x:c>
      <x:c r="E71" s="20" t="s">
        <x:v>53</x:v>
      </x:c>
      <x:c r="F71" s="18">
        <x:v>60628</x:v>
      </x:c>
      <x:c r="G71" s="18">
        <x:v>61213</x:v>
      </x:c>
      <x:c r="H71" s="21">
        <x:v>0.65555555555555556</x:v>
      </x:c>
      <x:c r="I71" s="20">
        <x:v>6</x:v>
      </x:c>
      <x:c r="J71" s="20">
        <x:v>2</x:v>
      </x:c>
      <x:c r="K71" s="10">
        <x:v>0</x:v>
      </x:c>
      <x:c r="L71" s="10">
        <x:v>0</x:v>
      </x:c>
      <x:c r="M71" s="10">
        <x:v>1</x:v>
      </x:c>
      <x:c r="N71" s="10" t="n">
        <x:f>L71+M71</x:f>
        <x:v>1</x:v>
      </x:c>
      <x:c r="O71" s="10">
        <x:v>0</x:v>
      </x:c>
      <x:c r="P71" s="10">
        <x:v>0</x:v>
      </x:c>
      <x:c r="Q71" s="20" t="s">
        <x:v>45</x:v>
      </x:c>
      <x:c r="R71"/>
    </x:row>
    <x:row r="72" s="16" customFormat="1">
      <x:c r="A72"/>
      <x:c r="B72" s="18"/>
      <x:c r="C72" s="18" t="s">
        <x:v>55</x:v>
      </x:c>
      <x:c r="D72" s="19" t="str">
        <x:f t="shared" si="6"/>
        <x:v>SDJC 2.0 x5N(E)</x:v>
      </x:c>
      <x:c r="E72" s="20" t="s">
        <x:v>53</x:v>
      </x:c>
      <x:c r="F72" s="18">
        <x:v>60628</x:v>
      </x:c>
      <x:c r="G72" s="18">
        <x:v>61213</x:v>
      </x:c>
      <x:c r="H72" s="21">
        <x:v>0.65555555555555556</x:v>
      </x:c>
      <x:c r="I72" s="20">
        <x:v>3</x:v>
      </x:c>
      <x:c r="J72" s="20">
        <x:v>3</x:v>
      </x:c>
      <x:c r="K72" s="10">
        <x:v>0</x:v>
      </x:c>
      <x:c r="L72" s="10">
        <x:v>0</x:v>
      </x:c>
      <x:c r="M72" s="10">
        <x:v>3</x:v>
      </x:c>
      <x:c r="N72" s="10" t="n">
        <x:f t="shared" ref="N72:N84" si="7">L72+M72</x:f>
        <x:v>3</x:v>
      </x:c>
      <x:c r="O72" s="10">
        <x:v>0</x:v>
      </x:c>
      <x:c r="P72" s="10">
        <x:v>0</x:v>
      </x:c>
      <x:c r="Q72" s="20" t="s">
        <x:v>45</x:v>
      </x:c>
      <x:c r="R72"/>
    </x:row>
    <x:row r="73" s="16" customFormat="1">
      <x:c r="A73"/>
      <x:c r="B73" s="20"/>
      <x:c r="C73" s="18" t="s">
        <x:v>55</x:v>
      </x:c>
      <x:c r="D73" s="19" t="str">
        <x:f t="shared" si="6"/>
        <x:v>SDJC 2.0 x5N(E)</x:v>
      </x:c>
      <x:c r="E73" s="20" t="s">
        <x:v>53</x:v>
      </x:c>
      <x:c r="F73" s="18">
        <x:v>60628</x:v>
      </x:c>
      <x:c r="G73" s="18">
        <x:v>61213</x:v>
      </x:c>
      <x:c r="H73" s="21">
        <x:v>0.65555555555555556</x:v>
      </x:c>
      <x:c r="I73" s="20">
        <x:v>6</x:v>
      </x:c>
      <x:c r="J73" s="20">
        <x:v>4</x:v>
      </x:c>
      <x:c r="K73" s="10">
        <x:v>0</x:v>
      </x:c>
      <x:c r="L73" s="10">
        <x:v>0</x:v>
      </x:c>
      <x:c r="M73" s="10">
        <x:v>2</x:v>
      </x:c>
      <x:c r="N73" s="10">
        <x:f t="shared" si="7"/>
        <x:v>2</x:v>
      </x:c>
      <x:c r="O73" s="10">
        <x:v>0</x:v>
      </x:c>
      <x:c r="P73" s="10">
        <x:v>0</x:v>
      </x:c>
      <x:c r="Q73" s="20" t="s">
        <x:v>45</x:v>
      </x:c>
      <x:c r="R73"/>
    </x:row>
    <x:row r="74" s="16" customFormat="1">
      <x:c r="A74"/>
      <x:c r="B74" s="20"/>
      <x:c r="C74" s="18" t="s">
        <x:v>55</x:v>
      </x:c>
      <x:c r="D74" s="19" t="str">
        <x:f t="shared" si="6"/>
        <x:v>SDJC 2.0 x5N(E)</x:v>
      </x:c>
      <x:c r="E74" s="20" t="s">
        <x:v>53</x:v>
      </x:c>
      <x:c r="F74" s="18">
        <x:v>60628</x:v>
      </x:c>
      <x:c r="G74" s="18">
        <x:v>61213</x:v>
      </x:c>
      <x:c r="H74" s="21">
        <x:v>0.65555555555555556</x:v>
      </x:c>
      <x:c r="I74" s="20">
        <x:v>6</x:v>
      </x:c>
      <x:c r="J74" s="20">
        <x:v>5</x:v>
      </x:c>
      <x:c r="K74" s="10">
        <x:v>0</x:v>
      </x:c>
      <x:c r="L74" s="10">
        <x:v>0</x:v>
      </x:c>
      <x:c r="M74" s="10">
        <x:v>3</x:v>
      </x:c>
      <x:c r="N74" s="10">
        <x:f t="shared" si="7"/>
        <x:v>3</x:v>
      </x:c>
      <x:c r="O74" s="10">
        <x:v>0</x:v>
      </x:c>
      <x:c r="P74" s="10">
        <x:v>0</x:v>
      </x:c>
      <x:c r="Q74" s="20" t="s">
        <x:v>45</x:v>
      </x:c>
      <x:c r="R74"/>
    </x:row>
    <x:row r="75" s="16" customFormat="1">
      <x:c r="A75"/>
      <x:c r="B75" s="20"/>
      <x:c r="C75" s="18" t="s">
        <x:v>55</x:v>
      </x:c>
      <x:c r="D75" s="19" t="str">
        <x:f t="shared" si="6"/>
        <x:v>SDJC 2.0 x5N(E)</x:v>
      </x:c>
      <x:c r="E75" s="20" t="s">
        <x:v>53</x:v>
      </x:c>
      <x:c r="F75" s="18">
        <x:v>60628</x:v>
      </x:c>
      <x:c r="G75" s="18">
        <x:v>61213</x:v>
      </x:c>
      <x:c r="H75" s="21">
        <x:v>0.65555555555555556</x:v>
      </x:c>
      <x:c r="I75" s="20">
        <x:v>3</x:v>
      </x:c>
      <x:c r="J75" s="20">
        <x:v>6</x:v>
      </x:c>
      <x:c r="K75" s="10">
        <x:v>0</x:v>
      </x:c>
      <x:c r="L75" s="10">
        <x:v>0</x:v>
      </x:c>
      <x:c r="M75" s="10">
        <x:v>3</x:v>
      </x:c>
      <x:c r="N75" s="10">
        <x:f t="shared" si="7"/>
        <x:v>3</x:v>
      </x:c>
      <x:c r="O75" s="10">
        <x:v>0</x:v>
      </x:c>
      <x:c r="P75" s="10">
        <x:v>0</x:v>
      </x:c>
      <x:c r="Q75" s="20" t="s">
        <x:v>45</x:v>
      </x:c>
      <x:c r="R75"/>
    </x:row>
    <x:row r="76" s="16" customFormat="1">
      <x:c r="A76"/>
      <x:c r="B76" s="18"/>
      <x:c r="C76" s="18" t="s">
        <x:v>55</x:v>
      </x:c>
      <x:c r="D76" s="19" t="str">
        <x:f t="shared" si="6"/>
        <x:v>SDJC 2.0 x5N(E)</x:v>
      </x:c>
      <x:c r="E76" s="20" t="s">
        <x:v>53</x:v>
      </x:c>
      <x:c r="F76" s="18">
        <x:v>60628</x:v>
      </x:c>
      <x:c r="G76" s="18">
        <x:v>61213</x:v>
      </x:c>
      <x:c r="H76" s="21">
        <x:v>0.65555555555555556</x:v>
      </x:c>
      <x:c r="I76" s="20">
        <x:v>6</x:v>
      </x:c>
      <x:c r="J76" s="20">
        <x:v>7</x:v>
      </x:c>
      <x:c r="K76" s="10">
        <x:v>0</x:v>
      </x:c>
      <x:c r="L76" s="10">
        <x:v>0</x:v>
      </x:c>
      <x:c r="M76" s="10">
        <x:v>0</x:v>
      </x:c>
      <x:c r="N76" s="10">
        <x:f t="shared" si="7"/>
        <x:v>0</x:v>
      </x:c>
      <x:c r="O76" s="10">
        <x:v>0</x:v>
      </x:c>
      <x:c r="P76" s="10">
        <x:v>0</x:v>
      </x:c>
      <x:c r="Q76" s="20" t="s">
        <x:v>45</x:v>
      </x:c>
      <x:c r="R76"/>
    </x:row>
    <x:row r="77" s="16" customFormat="1">
      <x:c r="A77"/>
      <x:c r="B77" s="18"/>
      <x:c r="C77" s="18" t="s">
        <x:v>55</x:v>
      </x:c>
      <x:c r="D77" s="19" t="str">
        <x:f t="shared" si="6"/>
        <x:v>SDJC 2.0 x5N(E)</x:v>
      </x:c>
      <x:c r="E77" s="20" t="s">
        <x:v>53</x:v>
      </x:c>
      <x:c r="F77" s="18">
        <x:v>60628</x:v>
      </x:c>
      <x:c r="G77" s="18">
        <x:v>61213</x:v>
      </x:c>
      <x:c r="H77" s="21">
        <x:v>0.65555555555555556</x:v>
      </x:c>
      <x:c r="I77" s="20">
        <x:v>3</x:v>
      </x:c>
      <x:c r="J77" s="20">
        <x:v>8</x:v>
      </x:c>
      <x:c r="K77" s="10">
        <x:v>0</x:v>
      </x:c>
      <x:c r="L77" s="10">
        <x:v>0</x:v>
      </x:c>
      <x:c r="M77" s="10">
        <x:v>0</x:v>
      </x:c>
      <x:c r="N77" s="10">
        <x:f t="shared" si="7"/>
        <x:v>0</x:v>
      </x:c>
      <x:c r="O77" s="10">
        <x:v>0</x:v>
      </x:c>
      <x:c r="P77" s="10">
        <x:v>0</x:v>
      </x:c>
      <x:c r="Q77" s="20" t="s">
        <x:v>45</x:v>
      </x:c>
      <x:c r="R77"/>
    </x:row>
    <x:row r="78" s="16" customFormat="1">
      <x:c r="A78"/>
      <x:c r="B78" s="18"/>
      <x:c r="C78" s="18" t="s">
        <x:v>55</x:v>
      </x:c>
      <x:c r="D78" s="19" t="str">
        <x:f t="shared" si="6"/>
        <x:v>SDJC 2.0 x5N(E)</x:v>
      </x:c>
      <x:c r="E78" s="20" t="s">
        <x:v>53</x:v>
      </x:c>
      <x:c r="F78" s="18">
        <x:v>60628</x:v>
      </x:c>
      <x:c r="G78" s="18">
        <x:v>61213</x:v>
      </x:c>
      <x:c r="H78" s="21">
        <x:v>0.65555555555555556</x:v>
      </x:c>
      <x:c r="I78" s="20">
        <x:v>6</x:v>
      </x:c>
      <x:c r="J78" s="20">
        <x:v>9</x:v>
      </x:c>
      <x:c r="K78" s="10">
        <x:v>0</x:v>
      </x:c>
      <x:c r="L78" s="10">
        <x:v>0</x:v>
      </x:c>
      <x:c r="M78" s="10">
        <x:v>2</x:v>
      </x:c>
      <x:c r="N78" s="10">
        <x:f t="shared" si="7"/>
        <x:v>2</x:v>
      </x:c>
      <x:c r="O78" s="10">
        <x:v>0</x:v>
      </x:c>
      <x:c r="P78" s="10">
        <x:v>0</x:v>
      </x:c>
      <x:c r="Q78" s="20" t="s">
        <x:v>45</x:v>
      </x:c>
      <x:c r="R78"/>
    </x:row>
    <x:row r="79" s="16" customFormat="1">
      <x:c r="A79"/>
      <x:c r="B79" s="20"/>
      <x:c r="C79" s="18" t="s">
        <x:v>55</x:v>
      </x:c>
      <x:c r="D79" s="19" t="str">
        <x:f t="shared" si="6"/>
        <x:v>SDJC 2.0 x5N(E)</x:v>
      </x:c>
      <x:c r="E79" s="20" t="s">
        <x:v>53</x:v>
      </x:c>
      <x:c r="F79" s="18">
        <x:v>60628</x:v>
      </x:c>
      <x:c r="G79" s="18">
        <x:v>61213</x:v>
      </x:c>
      <x:c r="H79" s="21">
        <x:v>0.65555555555555556</x:v>
      </x:c>
      <x:c r="I79" s="20">
        <x:v>3</x:v>
      </x:c>
      <x:c r="J79" s="20">
        <x:v>10</x:v>
      </x:c>
      <x:c r="K79" s="10">
        <x:v>0</x:v>
      </x:c>
      <x:c r="L79" s="10">
        <x:v>0</x:v>
      </x:c>
      <x:c r="M79" s="10">
        <x:v>3</x:v>
      </x:c>
      <x:c r="N79" s="10">
        <x:f t="shared" si="7"/>
        <x:v>3</x:v>
      </x:c>
      <x:c r="O79" s="10">
        <x:v>0</x:v>
      </x:c>
      <x:c r="P79" s="10">
        <x:v>0</x:v>
      </x:c>
      <x:c r="Q79" s="20" t="s">
        <x:v>45</x:v>
      </x:c>
      <x:c r="R79"/>
    </x:row>
    <x:row r="80" s="16" customFormat="1">
      <x:c r="A80"/>
      <x:c r="B80" s="20"/>
      <x:c r="C80" s="18" t="s">
        <x:v>55</x:v>
      </x:c>
      <x:c r="D80" s="19" t="str">
        <x:f t="shared" si="6"/>
        <x:v>SDJC 2.0 x5N(E)</x:v>
      </x:c>
      <x:c r="E80" s="20" t="s">
        <x:v>53</x:v>
      </x:c>
      <x:c r="F80" s="18">
        <x:v>60628</x:v>
      </x:c>
      <x:c r="G80" s="18">
        <x:v>61213</x:v>
      </x:c>
      <x:c r="H80" s="21">
        <x:v>0.65555555555555556</x:v>
      </x:c>
      <x:c r="I80" s="20">
        <x:v>6</x:v>
      </x:c>
      <x:c r="J80" s="20">
        <x:v>11</x:v>
      </x:c>
      <x:c r="K80" s="10">
        <x:v>0</x:v>
      </x:c>
      <x:c r="L80" s="10">
        <x:v>0</x:v>
      </x:c>
      <x:c r="M80" s="10">
        <x:v>0</x:v>
      </x:c>
      <x:c r="N80" s="10">
        <x:f t="shared" si="7"/>
        <x:v>0</x:v>
      </x:c>
      <x:c r="O80" s="10">
        <x:v>0</x:v>
      </x:c>
      <x:c r="P80" s="10">
        <x:v>0</x:v>
      </x:c>
      <x:c r="Q80" s="20" t="s">
        <x:v>45</x:v>
      </x:c>
      <x:c r="R80"/>
    </x:row>
    <x:row r="81" s="16" customFormat="1">
      <x:c r="A81"/>
      <x:c r="B81" s="20"/>
      <x:c r="C81" s="18" t="s">
        <x:v>55</x:v>
      </x:c>
      <x:c r="D81" s="19" t="str">
        <x:f t="shared" si="6"/>
        <x:v>SDJC 2.0 x5N(E)</x:v>
      </x:c>
      <x:c r="E81" s="20" t="s">
        <x:v>53</x:v>
      </x:c>
      <x:c r="F81" s="18">
        <x:v>60628</x:v>
      </x:c>
      <x:c r="G81" s="18">
        <x:v>61213</x:v>
      </x:c>
      <x:c r="H81" s="21">
        <x:v>0.65555555555555556</x:v>
      </x:c>
      <x:c r="I81" s="20">
        <x:v>3</x:v>
      </x:c>
      <x:c r="J81" s="20">
        <x:v>12</x:v>
      </x:c>
      <x:c r="K81" s="10">
        <x:v>0</x:v>
      </x:c>
      <x:c r="L81" s="10">
        <x:v>0</x:v>
      </x:c>
      <x:c r="M81" s="10">
        <x:v>0</x:v>
      </x:c>
      <x:c r="N81" s="10">
        <x:f t="shared" si="7"/>
        <x:v>0</x:v>
      </x:c>
      <x:c r="O81" s="10">
        <x:v>0</x:v>
      </x:c>
      <x:c r="P81" s="10">
        <x:v>0</x:v>
      </x:c>
      <x:c r="Q81" s="20" t="s">
        <x:v>45</x:v>
      </x:c>
      <x:c r="R81"/>
    </x:row>
    <x:row r="82" s="16" customFormat="1">
      <x:c r="A82"/>
      <x:c r="B82" s="20"/>
      <x:c r="C82" s="18" t="s">
        <x:v>55</x:v>
      </x:c>
      <x:c r="D82" s="19" t="str">
        <x:f t="shared" si="6"/>
        <x:v>SDJC 2.0 x5N(E)</x:v>
      </x:c>
      <x:c r="E82" s="20" t="s">
        <x:v>53</x:v>
      </x:c>
      <x:c r="F82" s="18">
        <x:v>60628</x:v>
      </x:c>
      <x:c r="G82" s="18">
        <x:v>61213</x:v>
      </x:c>
      <x:c r="H82" s="21">
        <x:v>0.65555555555555556</x:v>
      </x:c>
      <x:c r="I82" s="20">
        <x:v>6</x:v>
      </x:c>
      <x:c r="J82" s="20">
        <x:v>13</x:v>
      </x:c>
      <x:c r="K82" s="10">
        <x:v>0</x:v>
      </x:c>
      <x:c r="L82" s="10">
        <x:v>0</x:v>
      </x:c>
      <x:c r="M82" s="10">
        <x:v>0</x:v>
      </x:c>
      <x:c r="N82" s="10">
        <x:f t="shared" si="7"/>
        <x:v>0</x:v>
      </x:c>
      <x:c r="O82" s="10">
        <x:v>0</x:v>
      </x:c>
      <x:c r="P82" s="10">
        <x:v>0</x:v>
      </x:c>
      <x:c r="Q82" s="20" t="s">
        <x:v>45</x:v>
      </x:c>
      <x:c r="R82"/>
    </x:row>
    <x:row r="83" s="16" customFormat="1">
      <x:c r="A83"/>
      <x:c r="B83" s="20"/>
      <x:c r="C83" s="18" t="s">
        <x:v>55</x:v>
      </x:c>
      <x:c r="D83" s="19" t="str">
        <x:f t="shared" si="6"/>
        <x:v>SDJC 2.0 x5N(E)</x:v>
      </x:c>
      <x:c r="E83" s="20" t="s">
        <x:v>53</x:v>
      </x:c>
      <x:c r="F83" s="18">
        <x:v>60628</x:v>
      </x:c>
      <x:c r="G83" s="18">
        <x:v>61213</x:v>
      </x:c>
      <x:c r="H83" s="21">
        <x:v>0.65555555555555556</x:v>
      </x:c>
      <x:c r="I83" s="20">
        <x:v>3</x:v>
      </x:c>
      <x:c r="J83" s="20">
        <x:v>14</x:v>
      </x:c>
      <x:c r="K83" s="10">
        <x:v>0</x:v>
      </x:c>
      <x:c r="L83" s="10">
        <x:v>0</x:v>
      </x:c>
      <x:c r="M83" s="10">
        <x:v>0</x:v>
      </x:c>
      <x:c r="N83" s="10">
        <x:f t="shared" si="7"/>
        <x:v>0</x:v>
      </x:c>
      <x:c r="O83" s="10">
        <x:v>0</x:v>
      </x:c>
      <x:c r="P83" s="10">
        <x:v>0</x:v>
      </x:c>
      <x:c r="Q83" s="20" t="s">
        <x:v>45</x:v>
      </x:c>
      <x:c r="R83"/>
    </x:row>
    <x:row r="84" s="16" customFormat="1">
      <x:c r="A84"/>
      <x:c r="B84" s="20"/>
      <x:c r="C84" s="18" t="s">
        <x:v>55</x:v>
      </x:c>
      <x:c r="D84" s="19" t="str">
        <x:f t="shared" si="6"/>
        <x:v>SDJC 2.0 x5N(E)</x:v>
      </x:c>
      <x:c r="E84" s="20" t="s">
        <x:v>53</x:v>
      </x:c>
      <x:c r="F84" s="18">
        <x:v>60628</x:v>
      </x:c>
      <x:c r="G84" s="18">
        <x:v>61213</x:v>
      </x:c>
      <x:c r="H84" s="21">
        <x:v>0.65555555555555556</x:v>
      </x:c>
      <x:c r="I84" s="20">
        <x:v>6</x:v>
      </x:c>
      <x:c r="J84" s="20">
        <x:v>15</x:v>
      </x:c>
      <x:c r="K84" s="10">
        <x:v>0</x:v>
      </x:c>
      <x:c r="L84" s="10">
        <x:v>0</x:v>
      </x:c>
      <x:c r="M84" s="10">
        <x:v>0</x:v>
      </x:c>
      <x:c r="N84" s="10">
        <x:f t="shared" si="7"/>
        <x:v>0</x:v>
      </x:c>
      <x:c r="O84" s="10">
        <x:v>0</x:v>
      </x:c>
      <x:c r="P84" s="10">
        <x:v>0</x:v>
      </x:c>
      <x:c r="Q84" s="20" t="s">
        <x:v>45</x:v>
      </x:c>
      <x:c r="R84"/>
    </x:row>
    <x:row r="85" s="16" customFormat="1">
      <x:c r="A85"/>
      <x:c r="F85" s="22"/>
      <x:c r="H85" s="23"/>
      <x:c r="I85" s="23"/>
      <x:c r="J85" s="23"/>
      <x:c r="K85" s="24"/>
      <x:c r="L85" s="24"/>
      <x:c r="M85" s="24"/>
      <x:c r="N85" s="24"/>
      <x:c r="O85" s="24"/>
      <x:c r="P85" s="24"/>
      <x:c r="R85"/>
    </x:row>
    <x:row r="86" s="16" customFormat="1">
      <x:c r="A86"/>
      <x:c r="F86" s="22"/>
      <x:c r="H86" s="23"/>
      <x:c r="I86" s="23"/>
      <x:c r="J86" s="23"/>
      <x:c r="K86" s="24"/>
      <x:c r="L86" s="24"/>
      <x:c r="M86" s="24"/>
      <x:c r="N86" s="24"/>
      <x:c r="O86" s="24"/>
      <x:c r="P86" s="24"/>
      <x:c r="R86"/>
    </x:row>
    <x:row r="87" s="16" customFormat="1">
      <x:c r="A87"/>
      <x:c r="F87" s="22"/>
      <x:c r="H87" s="23"/>
      <x:c r="I87" s="23"/>
      <x:c r="J87" s="23"/>
      <x:c r="K87" s="24"/>
      <x:c r="L87" s="24"/>
      <x:c r="M87" s="24"/>
      <x:c r="N87" s="24"/>
      <x:c r="O87" s="24"/>
      <x:c r="P87" s="24"/>
      <x:c r="R87"/>
    </x:row>
    <x:row r="88" s="16" customFormat="1">
      <x:c r="A88"/>
      <x:c r="F88" s="22"/>
      <x:c r="H88" s="23"/>
      <x:c r="I88" s="23"/>
      <x:c r="J88" s="23"/>
      <x:c r="K88" s="24"/>
      <x:c r="L88" s="24"/>
      <x:c r="M88" s="24"/>
      <x:c r="N88" s="24"/>
      <x:c r="O88" s="24"/>
      <x:c r="P88" s="24"/>
      <x:c r="R88"/>
    </x:row>
    <x:row r="89" s="16" customFormat="1">
      <x:c r="A89"/>
      <x:c r="F89" s="22"/>
      <x:c r="H89" s="23"/>
      <x:c r="I89" s="23"/>
      <x:c r="J89" s="23"/>
      <x:c r="K89" s="24"/>
      <x:c r="L89" s="24"/>
      <x:c r="M89" s="24"/>
      <x:c r="N89" s="24"/>
      <x:c r="O89" s="24"/>
      <x:c r="P89" s="24"/>
      <x:c r="R89"/>
    </x:row>
    <x:row r="90" s="16" customFormat="1">
      <x:c r="A90"/>
      <x:c r="F90" s="22"/>
      <x:c r="H90" s="23"/>
      <x:c r="I90" s="23"/>
      <x:c r="J90" s="23"/>
      <x:c r="K90" s="24"/>
      <x:c r="L90" s="24"/>
      <x:c r="M90" s="24"/>
      <x:c r="N90" s="24"/>
      <x:c r="O90" s="24"/>
      <x:c r="P90" s="24"/>
      <x:c r="R90"/>
    </x:row>
    <x:row r="91" s="16" customFormat="1">
      <x:c r="A91"/>
      <x:c r="F91" s="22"/>
      <x:c r="H91" s="23"/>
      <x:c r="I91" s="23"/>
      <x:c r="J91" s="23"/>
      <x:c r="K91" s="24"/>
      <x:c r="L91" s="24"/>
      <x:c r="M91" s="24"/>
      <x:c r="N91" s="24"/>
      <x:c r="O91" s="24"/>
      <x:c r="P91" s="24"/>
      <x:c r="R91"/>
    </x:row>
    <x:row r="92" s="16" customFormat="1">
      <x:c r="A92"/>
      <x:c r="F92" s="22"/>
      <x:c r="H92" s="23"/>
      <x:c r="I92" s="23"/>
      <x:c r="J92" s="23"/>
      <x:c r="K92" s="24"/>
      <x:c r="L92" s="24"/>
      <x:c r="M92" s="24"/>
      <x:c r="N92" s="24"/>
      <x:c r="O92" s="24"/>
      <x:c r="P92" s="24"/>
      <x:c r="R92"/>
    </x:row>
    <x:row r="93" s="16" customFormat="1">
      <x:c r="A93"/>
      <x:c r="F93" s="22"/>
      <x:c r="H93" s="23"/>
      <x:c r="I93" s="23"/>
      <x:c r="J93" s="23"/>
      <x:c r="K93" s="24"/>
      <x:c r="L93" s="24"/>
      <x:c r="M93" s="24"/>
      <x:c r="N93" s="24"/>
      <x:c r="O93" s="24"/>
      <x:c r="P93" s="24"/>
      <x:c r="R93"/>
    </x:row>
    <x:row r="94" s="16" customFormat="1">
      <x:c r="A94"/>
      <x:c r="F94" s="22"/>
      <x:c r="H94" s="23"/>
      <x:c r="I94" s="23"/>
      <x:c r="J94" s="23"/>
      <x:c r="K94" s="24"/>
      <x:c r="L94" s="24"/>
      <x:c r="M94" s="24"/>
      <x:c r="N94" s="24"/>
      <x:c r="O94" s="24"/>
      <x:c r="P94" s="24"/>
      <x:c r="R94"/>
    </x:row>
    <x:row r="95" s="16" customFormat="1">
      <x:c r="A95"/>
      <x:c r="F95" s="22"/>
      <x:c r="H95" s="23"/>
      <x:c r="I95" s="23"/>
      <x:c r="J95" s="23"/>
      <x:c r="K95" s="24"/>
      <x:c r="L95" s="24"/>
      <x:c r="M95" s="24"/>
      <x:c r="N95" s="24"/>
      <x:c r="O95" s="24"/>
      <x:c r="P95" s="24"/>
      <x:c r="R95"/>
    </x:row>
    <x:row r="96" s="16" customFormat="1">
      <x:c r="A96"/>
      <x:c r="F96" s="22"/>
      <x:c r="H96" s="23"/>
      <x:c r="I96" s="23"/>
      <x:c r="J96" s="23"/>
      <x:c r="K96" s="24"/>
      <x:c r="L96" s="24"/>
      <x:c r="M96" s="24"/>
      <x:c r="N96" s="24"/>
      <x:c r="O96" s="24"/>
      <x:c r="P96" s="24"/>
      <x:c r="R96"/>
    </x:row>
    <x:row r="97" s="16" customFormat="1">
      <x:c r="A97"/>
      <x:c r="F97" s="22"/>
      <x:c r="H97" s="23"/>
      <x:c r="I97" s="23"/>
      <x:c r="J97" s="23"/>
      <x:c r="K97" s="24"/>
      <x:c r="L97" s="24"/>
      <x:c r="M97" s="24"/>
      <x:c r="N97" s="24"/>
      <x:c r="O97" s="24"/>
      <x:c r="P97" s="24"/>
      <x:c r="R97"/>
    </x:row>
    <x:row r="98" s="16" customFormat="1">
      <x:c r="A98"/>
      <x:c r="F98" s="22"/>
      <x:c r="H98" s="23"/>
      <x:c r="I98" s="23"/>
      <x:c r="J98" s="23"/>
      <x:c r="K98" s="24"/>
      <x:c r="L98" s="24"/>
      <x:c r="M98" s="24"/>
      <x:c r="N98" s="24"/>
      <x:c r="O98" s="24"/>
      <x:c r="P98" s="24"/>
      <x:c r="R98"/>
    </x:row>
    <x:row r="99" s="16" customFormat="1">
      <x:c r="A99"/>
      <x:c r="F99" s="22"/>
      <x:c r="H99" s="23"/>
      <x:c r="I99" s="23"/>
      <x:c r="J99" s="23"/>
      <x:c r="K99" s="24"/>
      <x:c r="L99" s="24"/>
      <x:c r="M99" s="24"/>
      <x:c r="N99" s="24"/>
      <x:c r="O99" s="24"/>
      <x:c r="P99" s="24"/>
      <x:c r="R99"/>
    </x:row>
    <x:row r="100" s="16" customFormat="1">
      <x:c r="A100"/>
      <x:c r="F100" s="22"/>
      <x:c r="H100" s="23"/>
      <x:c r="I100" s="23"/>
      <x:c r="J100" s="23"/>
      <x:c r="K100" s="24"/>
      <x:c r="L100" s="24"/>
      <x:c r="M100" s="24"/>
      <x:c r="N100" s="24"/>
      <x:c r="O100" s="24"/>
      <x:c r="P100" s="24"/>
      <x:c r="R100"/>
    </x:row>
    <x:row r="101" s="16" customFormat="1">
      <x:c r="A101"/>
      <x:c r="F101" s="22"/>
      <x:c r="H101" s="23"/>
      <x:c r="I101" s="23"/>
      <x:c r="J101" s="23"/>
      <x:c r="K101" s="24"/>
      <x:c r="L101" s="24"/>
      <x:c r="M101" s="24"/>
      <x:c r="N101" s="24"/>
      <x:c r="O101" s="24"/>
      <x:c r="P101" s="24"/>
      <x:c r="R101"/>
    </x:row>
    <x:row r="102" s="16" customFormat="1">
      <x:c r="A102"/>
      <x:c r="F102" s="22"/>
      <x:c r="H102" s="23"/>
      <x:c r="I102" s="23"/>
      <x:c r="J102" s="23"/>
      <x:c r="K102" s="24"/>
      <x:c r="L102" s="24"/>
      <x:c r="M102" s="24"/>
      <x:c r="N102" s="24"/>
      <x:c r="O102" s="24"/>
      <x:c r="P102" s="24"/>
      <x:c r="R102"/>
    </x:row>
    <x:row r="103" s="16" customFormat="1">
      <x:c r="A103"/>
      <x:c r="F103" s="22"/>
      <x:c r="H103" s="23"/>
      <x:c r="I103" s="23"/>
      <x:c r="J103" s="23"/>
      <x:c r="K103" s="24"/>
      <x:c r="L103" s="24"/>
      <x:c r="M103" s="24"/>
      <x:c r="N103" s="24"/>
      <x:c r="O103" s="24"/>
      <x:c r="P103" s="24"/>
      <x:c r="R103"/>
    </x:row>
    <x:row r="104" s="16" customFormat="1">
      <x:c r="A104"/>
      <x:c r="F104" s="22"/>
      <x:c r="H104" s="23"/>
      <x:c r="I104" s="23"/>
      <x:c r="J104" s="23"/>
      <x:c r="K104" s="24"/>
      <x:c r="L104" s="24"/>
      <x:c r="M104" s="24"/>
      <x:c r="N104" s="24"/>
      <x:c r="O104" s="24"/>
      <x:c r="P104" s="24"/>
      <x:c r="R104"/>
    </x:row>
    <x:row r="105" s="16" customFormat="1">
      <x:c r="A105"/>
      <x:c r="F105" s="22"/>
      <x:c r="H105" s="23"/>
      <x:c r="I105" s="23"/>
      <x:c r="J105" s="23"/>
      <x:c r="K105" s="24"/>
      <x:c r="L105" s="24"/>
      <x:c r="M105" s="24"/>
      <x:c r="N105" s="24"/>
      <x:c r="O105" s="24"/>
      <x:c r="P105" s="24"/>
      <x:c r="R105"/>
    </x:row>
    <x:row r="106" s="16" customFormat="1">
      <x:c r="A106"/>
      <x:c r="F106" s="22"/>
      <x:c r="H106" s="23"/>
      <x:c r="I106" s="23"/>
      <x:c r="J106" s="23"/>
      <x:c r="K106" s="24"/>
      <x:c r="L106" s="24"/>
      <x:c r="M106" s="24"/>
      <x:c r="N106" s="24"/>
      <x:c r="O106" s="24"/>
      <x:c r="P106" s="24"/>
      <x:c r="R106"/>
    </x:row>
    <x:row r="107" s="16" customFormat="1">
      <x:c r="A107"/>
      <x:c r="F107" s="22"/>
      <x:c r="H107" s="23"/>
      <x:c r="I107" s="23"/>
      <x:c r="J107" s="23"/>
      <x:c r="K107" s="24"/>
      <x:c r="L107" s="24"/>
      <x:c r="M107" s="24"/>
      <x:c r="N107" s="24"/>
      <x:c r="O107" s="24"/>
      <x:c r="P107" s="24"/>
      <x:c r="R107"/>
    </x:row>
    <x:row r="108" s="16" customFormat="1">
      <x:c r="A108"/>
      <x:c r="F108" s="22"/>
      <x:c r="H108" s="23"/>
      <x:c r="I108" s="23"/>
      <x:c r="J108" s="23"/>
      <x:c r="K108" s="24"/>
      <x:c r="L108" s="24"/>
      <x:c r="M108" s="24"/>
      <x:c r="N108" s="24"/>
      <x:c r="O108" s="24"/>
      <x:c r="P108" s="24"/>
      <x:c r="R108"/>
    </x:row>
    <x:row r="109" s="16" customFormat="1">
      <x:c r="A109"/>
      <x:c r="F109" s="22"/>
      <x:c r="H109" s="23"/>
      <x:c r="I109" s="23"/>
      <x:c r="J109" s="23"/>
      <x:c r="K109" s="24"/>
      <x:c r="L109" s="24"/>
      <x:c r="M109" s="24"/>
      <x:c r="N109" s="24"/>
      <x:c r="O109" s="24"/>
      <x:c r="P109" s="24"/>
      <x:c r="R109"/>
    </x:row>
    <x:row r="110" s="16" customFormat="1">
      <x:c r="A110"/>
      <x:c r="F110" s="22"/>
      <x:c r="H110" s="23"/>
      <x:c r="I110" s="23"/>
      <x:c r="J110" s="23"/>
      <x:c r="K110" s="24"/>
      <x:c r="L110" s="24"/>
      <x:c r="M110" s="24"/>
      <x:c r="N110" s="24"/>
      <x:c r="O110" s="24"/>
      <x:c r="P110" s="24"/>
      <x:c r="R110"/>
    </x:row>
    <x:row r="111" s="16" customFormat="1">
      <x:c r="A111"/>
      <x:c r="F111" s="22"/>
      <x:c r="H111" s="23"/>
      <x:c r="I111" s="23"/>
      <x:c r="J111" s="23"/>
      <x:c r="K111" s="24"/>
      <x:c r="L111" s="24"/>
      <x:c r="M111" s="24"/>
      <x:c r="N111" s="24"/>
      <x:c r="O111" s="24"/>
      <x:c r="P111" s="24"/>
      <x:c r="R111"/>
    </x:row>
    <x:row r="112" s="16" customFormat="1">
      <x:c r="A112"/>
      <x:c r="F112" s="22"/>
      <x:c r="H112" s="23"/>
      <x:c r="I112" s="23"/>
      <x:c r="J112" s="23"/>
      <x:c r="K112" s="24"/>
      <x:c r="L112" s="24"/>
      <x:c r="M112" s="24"/>
      <x:c r="N112" s="24"/>
      <x:c r="O112" s="24"/>
      <x:c r="P112" s="24"/>
      <x:c r="R112"/>
    </x:row>
    <x:row r="113" s="16" customFormat="1">
      <x:c r="A113"/>
      <x:c r="F113" s="22"/>
      <x:c r="H113" s="23"/>
      <x:c r="I113" s="23"/>
      <x:c r="J113" s="23"/>
      <x:c r="K113" s="24"/>
      <x:c r="L113" s="24"/>
      <x:c r="M113" s="24"/>
      <x:c r="N113" s="24"/>
      <x:c r="O113" s="24"/>
      <x:c r="P113" s="24"/>
      <x:c r="R113"/>
    </x:row>
    <x:row r="114" s="16" customFormat="1">
      <x:c r="A114"/>
      <x:c r="F114" s="22"/>
      <x:c r="H114" s="23"/>
      <x:c r="I114" s="23"/>
      <x:c r="J114" s="23"/>
      <x:c r="K114" s="24"/>
      <x:c r="L114" s="24"/>
      <x:c r="M114" s="24"/>
      <x:c r="N114" s="24"/>
      <x:c r="O114" s="24"/>
      <x:c r="P114" s="24"/>
      <x:c r="R114"/>
    </x:row>
    <x:row r="115" s="16" customFormat="1">
      <x:c r="A115"/>
      <x:c r="F115" s="22"/>
      <x:c r="H115" s="23"/>
      <x:c r="I115" s="23"/>
      <x:c r="J115" s="23"/>
      <x:c r="K115" s="24"/>
      <x:c r="L115" s="24"/>
      <x:c r="M115" s="24"/>
      <x:c r="N115" s="24"/>
      <x:c r="O115" s="24"/>
      <x:c r="P115" s="24"/>
      <x:c r="R115"/>
    </x:row>
    <x:row r="116" s="16" customFormat="1">
      <x:c r="A116"/>
      <x:c r="F116" s="22"/>
      <x:c r="H116" s="23"/>
      <x:c r="I116" s="23"/>
      <x:c r="J116" s="23"/>
      <x:c r="K116" s="24"/>
      <x:c r="L116" s="24"/>
      <x:c r="M116" s="24"/>
      <x:c r="N116" s="24"/>
      <x:c r="O116" s="24"/>
      <x:c r="P116" s="24"/>
      <x:c r="R116"/>
    </x:row>
    <x:row r="117" s="16" customFormat="1">
      <x:c r="A117"/>
      <x:c r="F117" s="22"/>
      <x:c r="H117" s="23"/>
      <x:c r="I117" s="23"/>
      <x:c r="J117" s="23"/>
      <x:c r="K117" s="24"/>
      <x:c r="L117" s="24"/>
      <x:c r="M117" s="24"/>
      <x:c r="N117" s="24"/>
      <x:c r="O117" s="24"/>
      <x:c r="P117" s="24"/>
      <x:c r="R117"/>
    </x:row>
  </x:sheetData>
  <x:mergeCells>
    <x:mergeCell ref="Q68:Q69"/>
    <x:mergeCell ref="B68:B69"/>
    <x:mergeCell ref="C68:C69"/>
    <x:mergeCell ref="D68:D69"/>
    <x:mergeCell ref="H68:H69"/>
    <x:mergeCell ref="K68:P68"/>
    <x:mergeCell ref="F2:F3"/>
    <x:mergeCell ref="B1:D1"/>
    <x:mergeCell ref="B2:B3"/>
    <x:mergeCell ref="C2:C3"/>
    <x:mergeCell ref="D2:D3"/>
    <x:mergeCell ref="E2:E3"/>
    <x:mergeCell ref="G2:G3"/>
    <x:mergeCell ref="H2:H3"/>
    <x:mergeCell ref="K2:K3"/>
    <x:mergeCell ref="H49:H50"/>
    <x:mergeCell ref="K49:P49"/>
    <x:mergeCell ref="L2:L3"/>
    <x:mergeCell ref="M2:M3"/>
    <x:mergeCell ref="Q49:Q50"/>
    <x:mergeCell ref="Q9:Q10"/>
    <x:mergeCell ref="B29:B30"/>
    <x:mergeCell ref="C29:C30"/>
    <x:mergeCell ref="D29:D30"/>
    <x:mergeCell ref="H29:H30"/>
    <x:mergeCell ref="K29:P29"/>
    <x:mergeCell ref="Q29:Q30"/>
    <x:mergeCell ref="B9:B10"/>
    <x:mergeCell ref="C9:C10"/>
    <x:mergeCell ref="D9:D10"/>
    <x:mergeCell ref="H9:H10"/>
    <x:mergeCell ref="K9:P9"/>
    <x:mergeCell ref="B49:B50"/>
    <x:mergeCell ref="C49:C50"/>
    <x:mergeCell ref="D49:D50"/>
  </x:mergeCells>
  <x:conditionalFormatting sqref="K11:K28 K31:K48 K51:K67 K70:K49999">
    <x:cfRule type="cellIs" dxfId="13" priority="6" operator="greaterThan">
      <x:formula>$C$6</x:formula>
    </x:cfRule>
    <x:cfRule type="cellIs" dxfId="12" priority="7" operator="greaterThan">
      <x:formula>$C$5</x:formula>
    </x:cfRule>
  </x:conditionalFormatting>
  <x:conditionalFormatting sqref="K11:P28 K31:P48 K51:P67 K70:P49999">
    <x:cfRule type="cellIs" dxfId="11" priority="5" operator="greaterThan">
      <x:formula>0</x:formula>
    </x:cfRule>
  </x:conditionalFormatting>
  <x:conditionalFormatting sqref="N11:N28 N31:N48 N51:N67 N70:N49999">
    <x:cfRule type="cellIs" dxfId="10" priority="3" operator="greaterThan">
      <x:formula>$E$6</x:formula>
    </x:cfRule>
    <x:cfRule type="cellIs" dxfId="9" priority="4" operator="greaterThan">
      <x:formula>$E$5</x:formula>
    </x:cfRule>
  </x:conditionalFormatting>
  <x:conditionalFormatting sqref="O11:O28 O31:O48 O51:O67 O70:O49999">
    <x:cfRule type="cellIs" dxfId="8" priority="1" operator="greaterThan">
      <x:formula>$K$6</x:formula>
    </x:cfRule>
    <x:cfRule type="cellIs" dxfId="7" priority="2" operator="greaterThan">
      <x:formula>$K$5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.109375" defaultRowHeight="14.399999618530273"/>
  <x:cols>
    <x:col min="1" max="1" width="5.109375" customWidth="1"/>
    <x:col min="2" max="7" width="12.6640625" style="16" customWidth="1"/>
    <x:col min="8" max="10" width="12.6640625" style="23" customWidth="1"/>
    <x:col min="11" max="16" width="12.6640625" style="24" customWidth="1"/>
    <x:col min="17" max="17" width="12.6640625" style="16" customWidth="1"/>
  </x:cols>
  <x:sheetData>
    <x:row r="1" s="6" customFormat="1" ht="23.399999618530273">
      <x:c r="A1" s="1" t="s">
        <x:v>0</x:v>
      </x:c>
      <x:c r="B1" s="60" t="s">
        <x:v>56</x:v>
      </x:c>
      <x:c r="C1" s="60"/>
      <x:c r="D1" s="60"/>
      <x:c r="E1" s="2" t="s">
        <x:v>2</x:v>
      </x:c>
      <x:c r="F1" s="3"/>
      <x:c r="G1" s="3"/>
      <x:c r="H1" s="4"/>
      <x:c r="I1" s="4"/>
      <x:c r="J1" s="4"/>
      <x:c r="K1" s="5"/>
      <x:c r="L1" s="5"/>
      <x:c r="M1" s="5"/>
      <x:c r="N1" s="5"/>
      <x:c r="O1" s="5"/>
      <x:c r="P1" s="5"/>
      <x:c r="Q1" s="3"/>
    </x:row>
    <x:row r="2" s="6" customFormat="1" ht="15" customHeight="1">
      <x:c r="A2" s="1"/>
      <x:c r="B2" s="56" t="s">
        <x:v>3</x:v>
      </x:c>
      <x:c r="C2" s="57" t="s">
        <x:v>4</x:v>
      </x:c>
      <x:c r="D2" s="57" t="s">
        <x:v>5</x:v>
      </x:c>
      <x:c r="E2" s="57" t="s">
        <x:v>6</x:v>
      </x:c>
      <x:c r="F2" s="57" t="s">
        <x:v>7</x:v>
      </x:c>
      <x:c r="G2" s="57" t="s">
        <x:v>8</x:v>
      </x:c>
      <x:c r="H2" s="57" t="s">
        <x:v>9</x:v>
      </x:c>
      <x:c r="I2" s="8"/>
      <x:c r="J2" s="8"/>
      <x:c r="K2" s="57" t="s">
        <x:v>10</x:v>
      </x:c>
      <x:c r="L2" s="57" t="s">
        <x:v>11</x:v>
      </x:c>
      <x:c r="M2" s="57" t="s">
        <x:v>12</x:v>
      </x:c>
    </x:row>
    <x:row r="3" s="6" customFormat="1" ht="15" customHeight="1">
      <x:c r="A3" s="1"/>
      <x:c r="B3" s="56"/>
      <x:c r="C3" s="57"/>
      <x:c r="D3" s="57"/>
      <x:c r="E3" s="57"/>
      <x:c r="F3" s="57"/>
      <x:c r="G3" s="57"/>
      <x:c r="H3" s="57"/>
      <x:c r="I3" s="8"/>
      <x:c r="J3" s="8"/>
      <x:c r="K3" s="57"/>
      <x:c r="L3" s="57"/>
      <x:c r="M3" s="57"/>
    </x:row>
    <x:row r="4" s="6" customFormat="1" ht="15" customHeight="1">
      <x:c r="A4" s="1"/>
      <x:c r="B4" s="9" t="s">
        <x:v>13</x:v>
      </x:c>
      <x:c r="C4" s="10" t="e">
        <x:f>'[1]Raw data S-Side'!C4</x:f>
        <x:v>#REF!</x:v>
      </x:c>
      <x:c r="D4" s="11" t="e">
        <x:f>'[1]Raw data S-Side'!D4</x:f>
        <x:v>#REF!</x:v>
      </x:c>
      <x:c r="E4" s="10" t="e">
        <x:f>'[1]Raw data S-Side'!E4</x:f>
        <x:v>#REF!</x:v>
      </x:c>
      <x:c r="F4" s="11" t="e">
        <x:f>'[1]Raw data S-Side'!F4</x:f>
        <x:v>#REF!</x:v>
      </x:c>
      <x:c r="G4" s="10" t="e">
        <x:f>'[1]Raw data S-Side'!G4</x:f>
        <x:v>#REF!</x:v>
      </x:c>
      <x:c r="H4" s="10" t="e">
        <x:f>'[1]Raw data S-Side'!H4</x:f>
        <x:v>#REF!</x:v>
      </x:c>
      <x:c r="I4" s="10" t="e">
        <x:f>'[1]Raw data S-Side'!I4</x:f>
        <x:v>#REF!</x:v>
      </x:c>
      <x:c r="J4" s="11"/>
      <x:c r="K4" s="11" t="e">
        <x:f>VLOOKUP(A1,[2]Std!1:1048576,21,FALSE)</x:f>
        <x:v>#NAME?</x:v>
      </x:c>
      <x:c r="L4" s="10" t="s">
        <x:v>14</x:v>
      </x:c>
      <x:c r="M4" s="12" t="s">
        <x:v>14</x:v>
      </x:c>
    </x:row>
    <x:row r="5" s="6" customFormat="1" ht="15" customHeight="1">
      <x:c r="A5" s="1"/>
      <x:c r="B5" s="9" t="s">
        <x:v>15</x:v>
      </x:c>
      <x:c r="C5" s="10" t="e">
        <x:f>'[1]Raw data S-Side'!C5</x:f>
        <x:v>#REF!</x:v>
      </x:c>
      <x:c r="D5" s="11" t="e">
        <x:f>'[1]Raw data S-Side'!D5</x:f>
        <x:v>#REF!</x:v>
      </x:c>
      <x:c r="E5" s="10" t="e">
        <x:f>'[1]Raw data S-Side'!E5</x:f>
        <x:v>#REF!</x:v>
      </x:c>
      <x:c r="F5" s="11" t="e">
        <x:f>'[1]Raw data S-Side'!F5</x:f>
        <x:v>#REF!</x:v>
      </x:c>
      <x:c r="G5" s="10" t="e">
        <x:f>'[1]Raw data S-Side'!G5</x:f>
        <x:v>#REF!</x:v>
      </x:c>
      <x:c r="H5" s="10" t="e">
        <x:f>'[1]Raw data S-Side'!H5</x:f>
        <x:v>#REF!</x:v>
      </x:c>
      <x:c r="I5" s="10" t="s">
        <x:v>14</x:v>
      </x:c>
      <x:c r="J5" s="11"/>
      <x:c r="K5" s="10">
        <x:v>2</x:v>
      </x:c>
      <x:c r="L5" s="10">
        <x:v>0</x:v>
      </x:c>
      <x:c r="M5" s="12">
        <x:v>3.8</x:v>
      </x:c>
    </x:row>
    <x:row r="6" s="6" customFormat="1" ht="15" customHeight="1">
      <x:c r="A6" s="1"/>
      <x:c r="B6" s="9" t="s">
        <x:v>16</x:v>
      </x:c>
      <x:c r="C6" s="10" t="e">
        <x:f>'[1]Raw data S-Side'!C6</x:f>
        <x:v>#REF!</x:v>
      </x:c>
      <x:c r="D6" s="11" t="e">
        <x:f>'[1]Raw data S-Side'!D6</x:f>
        <x:v>#REF!</x:v>
      </x:c>
      <x:c r="E6" s="10" t="e">
        <x:f>'[1]Raw data S-Side'!E6</x:f>
        <x:v>#REF!</x:v>
      </x:c>
      <x:c r="F6" s="11" t="e">
        <x:f>'[1]Raw data S-Side'!F6</x:f>
        <x:v>#REF!</x:v>
      </x:c>
      <x:c r="G6" s="10" t="e">
        <x:f>'[1]Raw data S-Side'!G6</x:f>
        <x:v>#REF!</x:v>
      </x:c>
      <x:c r="H6" s="10" t="e">
        <x:f>'[1]Raw data S-Side'!H6</x:f>
        <x:v>#REF!</x:v>
      </x:c>
      <x:c r="I6" s="10" t="s">
        <x:v>14</x:v>
      </x:c>
      <x:c r="J6" s="11"/>
      <x:c r="K6" s="10">
        <x:v>4</x:v>
      </x:c>
      <x:c r="L6" s="10">
        <x:v>1</x:v>
      </x:c>
      <x:c r="M6" s="12">
        <x:v>3.5</x:v>
      </x:c>
    </x:row>
    <x:row r="7" s="6" customFormat="1" ht="15" customHeight="1">
      <x:c r="A7" s="1"/>
      <x:c r="B7" t="s">
        <x:v>17</x:v>
      </x:c>
      <x:c r="D7" s="3"/>
      <x:c r="E7" s="3"/>
      <x:c r="F7" s="3"/>
      <x:c r="G7" s="3"/>
      <x:c r="H7" s="4"/>
      <x:c r="I7" s="4"/>
      <x:c r="J7" s="4"/>
      <x:c r="K7" s="5"/>
      <x:c r="L7" s="5"/>
      <x:c r="M7" s="5"/>
      <x:c r="N7" s="5"/>
      <x:c r="O7" s="5"/>
      <x:c r="P7" s="5"/>
      <x:c r="Q7" s="3"/>
    </x:row>
    <x:row r="8" s="6" customFormat="1" ht="15" customHeight="1">
      <x:c r="A8" s="1"/>
      <x:c r="B8" t="s">
        <x:v>18</x:v>
      </x:c>
      <x:c r="C8" s="13"/>
      <x:c r="D8" s="3"/>
      <x:c r="E8" s="3"/>
      <x:c r="F8" s="3"/>
      <x:c r="G8" s="3"/>
      <x:c r="L8" t="s">
        <x:v>19</x:v>
      </x:c>
      <x:c r="N8" s="5"/>
      <x:c r="O8" s="5"/>
      <x:c r="P8" s="5"/>
      <x:c r="Q8" s="3"/>
    </x:row>
    <x:row r="9" ht="15" customHeight="1">
      <x:c r="B9" s="57" t="s">
        <x:v>20</x:v>
      </x:c>
      <x:c r="C9" s="57" t="s">
        <x:v>21</x:v>
      </x:c>
      <x:c r="D9" s="56" t="s">
        <x:v>22</x:v>
      </x:c>
      <x:c r="E9" s="9" t="s">
        <x:v>23</x:v>
      </x:c>
      <x:c r="F9" s="14" t="s">
        <x:v>24</x:v>
      </x:c>
      <x:c r="G9" s="9" t="s">
        <x:v>24</x:v>
      </x:c>
      <x:c r="H9" s="58" t="s">
        <x:v>25</x:v>
      </x:c>
      <x:c r="I9" s="15"/>
      <x:c r="J9" s="15"/>
      <x:c r="K9" s="59" t="s">
        <x:v>26</x:v>
      </x:c>
      <x:c r="L9" s="59"/>
      <x:c r="M9" s="59"/>
      <x:c r="N9" s="59"/>
      <x:c r="O9" s="59"/>
      <x:c r="P9" s="59"/>
      <x:c r="Q9" s="56" t="s">
        <x:v>27</x:v>
      </x:c>
      <x:c r="R9" s="16"/>
    </x:row>
    <x:row r="10" ht="28.799999237060547">
      <x:c r="B10" s="56"/>
      <x:c r="C10" s="56"/>
      <x:c r="D10" s="56"/>
      <x:c r="E10" s="7" t="s">
        <x:v>28</x:v>
      </x:c>
      <x:c r="F10" s="8" t="s">
        <x:v>29</x:v>
      </x:c>
      <x:c r="G10" s="8" t="s">
        <x:v>30</x:v>
      </x:c>
      <x:c r="H10" s="58"/>
      <x:c r="I10" s="15" t="s">
        <x:v>31</x:v>
      </x:c>
      <x:c r="J10" s="15" t="s">
        <x:v>32</x:v>
      </x:c>
      <x:c r="K10" s="17" t="s">
        <x:v>33</x:v>
      </x:c>
      <x:c r="L10" s="17" t="s">
        <x:v>34</x:v>
      </x:c>
      <x:c r="M10" s="17" t="s">
        <x:v>35</x:v>
      </x:c>
      <x:c r="N10" s="17" t="s">
        <x:v>36</x:v>
      </x:c>
      <x:c r="O10" s="17" t="s">
        <x:v>10</x:v>
      </x:c>
      <x:c r="P10" s="17" t="s">
        <x:v>37</x:v>
      </x:c>
      <x:c r="Q10" s="56"/>
      <x:c r="R10" s="16"/>
    </x:row>
    <x:row r="11">
      <x:c r="B11" s="18" t="s">
        <x:v>38</x:v>
      </x:c>
      <x:c r="C11" s="18" t="s">
        <x:v>57</x:v>
      </x:c>
      <x:c r="D11" s="19" t="str">
        <x:f>$B$1</x:f>
        <x:v>SD 1.1 x5NUK(C)</x:v>
      </x:c>
      <x:c r="E11" s="20" t="s">
        <x:v>58</x:v>
      </x:c>
      <x:c r="F11" s="18">
        <x:v>60623</x:v>
      </x:c>
      <x:c r="G11" s="18">
        <x:v>71001</x:v>
      </x:c>
      <x:c r="H11" s="21">
        <x:v>0.63055555555555554</x:v>
      </x:c>
      <x:c r="I11" s="20">
        <x:v>3</x:v>
      </x:c>
      <x:c r="J11" s="20">
        <x:v>1</x:v>
      </x:c>
      <x:c r="K11" s="10">
        <x:v>0</x:v>
      </x:c>
      <x:c r="L11" s="10">
        <x:v>0</x:v>
      </x:c>
      <x:c r="M11" s="10">
        <x:v>0</x:v>
      </x:c>
      <x:c r="N11" s="10" t="n">
        <x:f>L11+M11</x:f>
        <x:v>0</x:v>
      </x:c>
      <x:c r="O11" s="10">
        <x:v>1</x:v>
      </x:c>
      <x:c r="P11" s="10">
        <x:v>0</x:v>
      </x:c>
      <x:c r="Q11" s="20" t="s">
        <x:v>41</x:v>
      </x:c>
    </x:row>
    <x:row r="12" s="16" customFormat="1">
      <x:c r="A12"/>
      <x:c r="B12" s="18"/>
      <x:c r="C12" s="18" t="s">
        <x:v>57</x:v>
      </x:c>
      <x:c r="D12" s="19" t="str">
        <x:f t="shared" ref="D12:D25" si="0">$B$1</x:f>
        <x:v>SD 1.1 x5NUK(C)</x:v>
      </x:c>
      <x:c r="E12" s="20" t="s">
        <x:v>58</x:v>
      </x:c>
      <x:c r="F12" s="18">
        <x:v>60623</x:v>
      </x:c>
      <x:c r="G12" s="18">
        <x:v>71001</x:v>
      </x:c>
      <x:c r="H12" s="21">
        <x:v>0.63055555555555554</x:v>
      </x:c>
      <x:c r="I12" s="20">
        <x:v>6</x:v>
      </x:c>
      <x:c r="J12" s="20">
        <x:v>2</x:v>
      </x:c>
      <x:c r="K12" s="10">
        <x:v>0</x:v>
      </x:c>
      <x:c r="L12" s="10">
        <x:v>0</x:v>
      </x:c>
      <x:c r="M12" s="10">
        <x:v>0</x:v>
      </x:c>
      <x:c r="N12" s="10" t="n">
        <x:f>L12+M12</x:f>
        <x:v>0</x:v>
      </x:c>
      <x:c r="O12" s="10">
        <x:v>0</x:v>
      </x:c>
      <x:c r="P12" s="10">
        <x:v>0</x:v>
      </x:c>
      <x:c r="Q12" s="20" t="s">
        <x:v>42</x:v>
      </x:c>
      <x:c r="R12"/>
    </x:row>
    <x:row r="13" s="16" customFormat="1">
      <x:c r="A13"/>
      <x:c r="B13" s="18"/>
      <x:c r="C13" s="18" t="s">
        <x:v>57</x:v>
      </x:c>
      <x:c r="D13" s="19" t="str">
        <x:f t="shared" si="0"/>
        <x:v>SD 1.1 x5NUK(C)</x:v>
      </x:c>
      <x:c r="E13" s="20" t="s">
        <x:v>58</x:v>
      </x:c>
      <x:c r="F13" s="18">
        <x:v>60623</x:v>
      </x:c>
      <x:c r="G13" s="18">
        <x:v>71001</x:v>
      </x:c>
      <x:c r="H13" s="21">
        <x:v>0.63055555555555554</x:v>
      </x:c>
      <x:c r="I13" s="20">
        <x:v>3</x:v>
      </x:c>
      <x:c r="J13" s="20">
        <x:v>3</x:v>
      </x:c>
      <x:c r="K13" s="10">
        <x:v>0</x:v>
      </x:c>
      <x:c r="L13" s="10">
        <x:v>0</x:v>
      </x:c>
      <x:c r="M13" s="10">
        <x:v>1</x:v>
      </x:c>
      <x:c r="N13" s="10" t="n">
        <x:f t="shared" ref="N13:N24" si="1">L13+M13</x:f>
        <x:v>1</x:v>
      </x:c>
      <x:c r="O13" s="10">
        <x:v>1</x:v>
      </x:c>
      <x:c r="P13" s="10">
        <x:v>0</x:v>
      </x:c>
      <x:c r="Q13" s="20" t="s">
        <x:v>41</x:v>
      </x:c>
      <x:c r="R13"/>
    </x:row>
    <x:row r="14" s="16" customFormat="1">
      <x:c r="A14"/>
      <x:c r="B14" s="20"/>
      <x:c r="C14" s="18" t="s">
        <x:v>57</x:v>
      </x:c>
      <x:c r="D14" s="19" t="str">
        <x:f t="shared" si="0"/>
        <x:v>SD 1.1 x5NUK(C)</x:v>
      </x:c>
      <x:c r="E14" s="20" t="s">
        <x:v>58</x:v>
      </x:c>
      <x:c r="F14" s="18">
        <x:v>60623</x:v>
      </x:c>
      <x:c r="G14" s="18">
        <x:v>71001</x:v>
      </x:c>
      <x:c r="H14" s="21">
        <x:v>0.63055555555555554</x:v>
      </x:c>
      <x:c r="I14" s="20">
        <x:v>6</x:v>
      </x:c>
      <x:c r="J14" s="20">
        <x:v>4</x:v>
      </x:c>
      <x:c r="K14" s="10">
        <x:v>0</x:v>
      </x:c>
      <x:c r="L14" s="10">
        <x:v>0</x:v>
      </x:c>
      <x:c r="M14" s="10">
        <x:v>0</x:v>
      </x:c>
      <x:c r="N14" s="10">
        <x:f t="shared" si="1"/>
        <x:v>0</x:v>
      </x:c>
      <x:c r="O14" s="10">
        <x:v>0</x:v>
      </x:c>
      <x:c r="P14" s="10">
        <x:v>0</x:v>
      </x:c>
      <x:c r="Q14" s="20" t="s">
        <x:v>42</x:v>
      </x:c>
      <x:c r="R14"/>
    </x:row>
    <x:row r="15" s="16" customFormat="1">
      <x:c r="A15"/>
      <x:c r="B15" s="20"/>
      <x:c r="C15" s="18" t="s">
        <x:v>57</x:v>
      </x:c>
      <x:c r="D15" s="19" t="str">
        <x:f t="shared" si="0"/>
        <x:v>SD 1.1 x5NUK(C)</x:v>
      </x:c>
      <x:c r="E15" s="20" t="s">
        <x:v>58</x:v>
      </x:c>
      <x:c r="F15" s="18">
        <x:v>60623</x:v>
      </x:c>
      <x:c r="G15" s="18">
        <x:v>71001</x:v>
      </x:c>
      <x:c r="H15" s="21">
        <x:v>0.63055555555555554</x:v>
      </x:c>
      <x:c r="I15" s="20">
        <x:v>3</x:v>
      </x:c>
      <x:c r="J15" s="20">
        <x:v>5</x:v>
      </x:c>
      <x:c r="K15" s="10">
        <x:v>0</x:v>
      </x:c>
      <x:c r="L15" s="10">
        <x:v>0</x:v>
      </x:c>
      <x:c r="M15" s="10">
        <x:v>0</x:v>
      </x:c>
      <x:c r="N15" s="10">
        <x:f t="shared" si="1"/>
        <x:v>0</x:v>
      </x:c>
      <x:c r="O15" s="10">
        <x:v>1</x:v>
      </x:c>
      <x:c r="P15" s="10">
        <x:v>0</x:v>
      </x:c>
      <x:c r="Q15" s="20" t="s">
        <x:v>41</x:v>
      </x:c>
      <x:c r="R15"/>
    </x:row>
    <x:row r="16" s="16" customFormat="1">
      <x:c r="A16"/>
      <x:c r="B16" s="20"/>
      <x:c r="C16" s="18" t="s">
        <x:v>57</x:v>
      </x:c>
      <x:c r="D16" s="19" t="str">
        <x:f t="shared" si="0"/>
        <x:v>SD 1.1 x5NUK(C)</x:v>
      </x:c>
      <x:c r="E16" s="20" t="s">
        <x:v>58</x:v>
      </x:c>
      <x:c r="F16" s="18">
        <x:v>60623</x:v>
      </x:c>
      <x:c r="G16" s="18">
        <x:v>71001</x:v>
      </x:c>
      <x:c r="H16" s="21">
        <x:v>0.63055555555555554</x:v>
      </x:c>
      <x:c r="I16" s="20">
        <x:v>3</x:v>
      </x:c>
      <x:c r="J16" s="20">
        <x:v>6</x:v>
      </x:c>
      <x:c r="K16" s="10">
        <x:v>0</x:v>
      </x:c>
      <x:c r="L16" s="10">
        <x:v>0</x:v>
      </x:c>
      <x:c r="M16" s="10">
        <x:v>0</x:v>
      </x:c>
      <x:c r="N16" s="10">
        <x:f t="shared" si="1"/>
        <x:v>0</x:v>
      </x:c>
      <x:c r="O16" s="10">
        <x:v>0</x:v>
      </x:c>
      <x:c r="P16" s="10">
        <x:v>0</x:v>
      </x:c>
      <x:c r="Q16" s="20" t="s">
        <x:v>41</x:v>
      </x:c>
      <x:c r="R16"/>
    </x:row>
    <x:row r="17" s="16" customFormat="1">
      <x:c r="A17"/>
      <x:c r="B17" s="18"/>
      <x:c r="C17" s="18" t="s">
        <x:v>57</x:v>
      </x:c>
      <x:c r="D17" s="19" t="str">
        <x:f t="shared" si="0"/>
        <x:v>SD 1.1 x5NUK(C)</x:v>
      </x:c>
      <x:c r="E17" s="20" t="s">
        <x:v>58</x:v>
      </x:c>
      <x:c r="F17" s="18">
        <x:v>60623</x:v>
      </x:c>
      <x:c r="G17" s="18">
        <x:v>71001</x:v>
      </x:c>
      <x:c r="H17" s="21">
        <x:v>0.63055555555555554</x:v>
      </x:c>
      <x:c r="I17" s="20">
        <x:v>6</x:v>
      </x:c>
      <x:c r="J17" s="20">
        <x:v>7</x:v>
      </x:c>
      <x:c r="K17" s="10">
        <x:v>0</x:v>
      </x:c>
      <x:c r="L17" s="10">
        <x:v>0</x:v>
      </x:c>
      <x:c r="M17" s="10">
        <x:v>0</x:v>
      </x:c>
      <x:c r="N17" s="10">
        <x:f t="shared" si="1"/>
        <x:v>0</x:v>
      </x:c>
      <x:c r="O17" s="10">
        <x:v>0</x:v>
      </x:c>
      <x:c r="P17" s="10">
        <x:v>0</x:v>
      </x:c>
      <x:c r="Q17" s="20" t="s">
        <x:v>41</x:v>
      </x:c>
      <x:c r="R17"/>
    </x:row>
    <x:row r="18" s="16" customFormat="1">
      <x:c r="A18"/>
      <x:c r="B18" s="18"/>
      <x:c r="C18" s="18" t="s">
        <x:v>57</x:v>
      </x:c>
      <x:c r="D18" s="19" t="str">
        <x:f t="shared" si="0"/>
        <x:v>SD 1.1 x5NUK(C)</x:v>
      </x:c>
      <x:c r="E18" s="20" t="s">
        <x:v>58</x:v>
      </x:c>
      <x:c r="F18" s="18">
        <x:v>60623</x:v>
      </x:c>
      <x:c r="G18" s="18">
        <x:v>71001</x:v>
      </x:c>
      <x:c r="H18" s="21">
        <x:v>0.63055555555555554</x:v>
      </x:c>
      <x:c r="I18" s="20">
        <x:v>3</x:v>
      </x:c>
      <x:c r="J18" s="20">
        <x:v>8</x:v>
      </x:c>
      <x:c r="K18" s="10">
        <x:v>0</x:v>
      </x:c>
      <x:c r="L18" s="10">
        <x:v>0</x:v>
      </x:c>
      <x:c r="M18" s="10">
        <x:v>0</x:v>
      </x:c>
      <x:c r="N18" s="10">
        <x:f t="shared" si="1"/>
        <x:v>0</x:v>
      </x:c>
      <x:c r="O18" s="10">
        <x:v>2</x:v>
      </x:c>
      <x:c r="P18" s="10">
        <x:v>0</x:v>
      </x:c>
      <x:c r="Q18" s="20" t="s">
        <x:v>42</x:v>
      </x:c>
      <x:c r="R18"/>
    </x:row>
    <x:row r="19" s="16" customFormat="1">
      <x:c r="A19"/>
      <x:c r="B19" s="18"/>
      <x:c r="C19" s="18" t="s">
        <x:v>57</x:v>
      </x:c>
      <x:c r="D19" s="19" t="str">
        <x:f t="shared" si="0"/>
        <x:v>SD 1.1 x5NUK(C)</x:v>
      </x:c>
      <x:c r="E19" s="20" t="s">
        <x:v>58</x:v>
      </x:c>
      <x:c r="F19" s="18">
        <x:v>60623</x:v>
      </x:c>
      <x:c r="G19" s="18">
        <x:v>71001</x:v>
      </x:c>
      <x:c r="H19" s="21">
        <x:v>0.63055555555555554</x:v>
      </x:c>
      <x:c r="I19" s="20">
        <x:v>6</x:v>
      </x:c>
      <x:c r="J19" s="20">
        <x:v>9</x:v>
      </x:c>
      <x:c r="K19" s="10">
        <x:v>0</x:v>
      </x:c>
      <x:c r="L19" s="10">
        <x:v>0</x:v>
      </x:c>
      <x:c r="M19" s="10">
        <x:v>0</x:v>
      </x:c>
      <x:c r="N19" s="10">
        <x:f t="shared" si="1"/>
        <x:v>0</x:v>
      </x:c>
      <x:c r="O19" s="10">
        <x:v>0</x:v>
      </x:c>
      <x:c r="P19" s="10">
        <x:v>0</x:v>
      </x:c>
      <x:c r="Q19" s="20" t="s">
        <x:v>41</x:v>
      </x:c>
      <x:c r="R19"/>
    </x:row>
    <x:row r="20" s="16" customFormat="1">
      <x:c r="A20"/>
      <x:c r="B20" s="20"/>
      <x:c r="C20" s="18" t="s">
        <x:v>57</x:v>
      </x:c>
      <x:c r="D20" s="19" t="str">
        <x:f t="shared" si="0"/>
        <x:v>SD 1.1 x5NUK(C)</x:v>
      </x:c>
      <x:c r="E20" s="20" t="s">
        <x:v>58</x:v>
      </x:c>
      <x:c r="F20" s="18">
        <x:v>60623</x:v>
      </x:c>
      <x:c r="G20" s="18">
        <x:v>71001</x:v>
      </x:c>
      <x:c r="H20" s="21">
        <x:v>0.63055555555555554</x:v>
      </x:c>
      <x:c r="I20" s="20">
        <x:v>3</x:v>
      </x:c>
      <x:c r="J20" s="20">
        <x:v>10</x:v>
      </x:c>
      <x:c r="K20" s="10">
        <x:v>0</x:v>
      </x:c>
      <x:c r="L20" s="10">
        <x:v>0</x:v>
      </x:c>
      <x:c r="M20" s="10">
        <x:v>1</x:v>
      </x:c>
      <x:c r="N20" s="10">
        <x:f t="shared" si="1"/>
        <x:v>1</x:v>
      </x:c>
      <x:c r="O20" s="10">
        <x:v>0</x:v>
      </x:c>
      <x:c r="P20" s="10">
        <x:v>0</x:v>
      </x:c>
      <x:c r="Q20" s="20" t="s">
        <x:v>41</x:v>
      </x:c>
      <x:c r="R20"/>
    </x:row>
    <x:row r="21" s="16" customFormat="1">
      <x:c r="A21"/>
      <x:c r="B21" s="20"/>
      <x:c r="C21" s="18" t="s">
        <x:v>57</x:v>
      </x:c>
      <x:c r="D21" s="19" t="str">
        <x:f t="shared" si="0"/>
        <x:v>SD 1.1 x5NUK(C)</x:v>
      </x:c>
      <x:c r="E21" s="20" t="s">
        <x:v>58</x:v>
      </x:c>
      <x:c r="F21" s="18">
        <x:v>60623</x:v>
      </x:c>
      <x:c r="G21" s="18">
        <x:v>71001</x:v>
      </x:c>
      <x:c r="H21" s="21">
        <x:v>0.63055555555555554</x:v>
      </x:c>
      <x:c r="I21" s="20">
        <x:v>6</x:v>
      </x:c>
      <x:c r="J21" s="20">
        <x:v>11</x:v>
      </x:c>
      <x:c r="K21" s="10">
        <x:v>0</x:v>
      </x:c>
      <x:c r="L21" s="10">
        <x:v>0</x:v>
      </x:c>
      <x:c r="M21" s="10">
        <x:v>0</x:v>
      </x:c>
      <x:c r="N21" s="10">
        <x:f t="shared" si="1"/>
        <x:v>0</x:v>
      </x:c>
      <x:c r="O21" s="10">
        <x:v>0</x:v>
      </x:c>
      <x:c r="P21" s="10">
        <x:v>0</x:v>
      </x:c>
      <x:c r="Q21" s="20" t="s">
        <x:v>42</x:v>
      </x:c>
      <x:c r="R21"/>
    </x:row>
    <x:row r="22" s="16" customFormat="1">
      <x:c r="A22"/>
      <x:c r="B22" s="20"/>
      <x:c r="C22" s="18" t="s">
        <x:v>57</x:v>
      </x:c>
      <x:c r="D22" s="19" t="str">
        <x:f t="shared" si="0"/>
        <x:v>SD 1.1 x5NUK(C)</x:v>
      </x:c>
      <x:c r="E22" s="20" t="s">
        <x:v>58</x:v>
      </x:c>
      <x:c r="F22" s="18">
        <x:v>60623</x:v>
      </x:c>
      <x:c r="G22" s="18">
        <x:v>71001</x:v>
      </x:c>
      <x:c r="H22" s="21">
        <x:v>0.63055555555555554</x:v>
      </x:c>
      <x:c r="I22" s="20">
        <x:v>3</x:v>
      </x:c>
      <x:c r="J22" s="20">
        <x:v>12</x:v>
      </x:c>
      <x:c r="K22" s="10">
        <x:v>0</x:v>
      </x:c>
      <x:c r="L22" s="10">
        <x:v>0</x:v>
      </x:c>
      <x:c r="M22" s="10">
        <x:v>0</x:v>
      </x:c>
      <x:c r="N22" s="10">
        <x:f t="shared" si="1"/>
        <x:v>0</x:v>
      </x:c>
      <x:c r="O22" s="10">
        <x:v>1</x:v>
      </x:c>
      <x:c r="P22" s="10">
        <x:v>0</x:v>
      </x:c>
      <x:c r="Q22" s="20" t="s">
        <x:v>41</x:v>
      </x:c>
      <x:c r="R22"/>
    </x:row>
    <x:row r="23" s="16" customFormat="1" ht="15" customHeight="1">
      <x:c r="A23"/>
      <x:c r="B23" s="20"/>
      <x:c r="C23" s="18" t="s">
        <x:v>57</x:v>
      </x:c>
      <x:c r="D23" s="19" t="str">
        <x:f t="shared" si="0"/>
        <x:v>SD 1.1 x5NUK(C)</x:v>
      </x:c>
      <x:c r="E23" s="20" t="s">
        <x:v>58</x:v>
      </x:c>
      <x:c r="F23" s="18">
        <x:v>60623</x:v>
      </x:c>
      <x:c r="G23" s="18">
        <x:v>71001</x:v>
      </x:c>
      <x:c r="H23" s="21">
        <x:v>0.63055555555555554</x:v>
      </x:c>
      <x:c r="I23" s="20">
        <x:v>6</x:v>
      </x:c>
      <x:c r="J23" s="20">
        <x:v>13</x:v>
      </x:c>
      <x:c r="K23" s="10">
        <x:v>0</x:v>
      </x:c>
      <x:c r="L23" s="10">
        <x:v>0</x:v>
      </x:c>
      <x:c r="M23" s="10">
        <x:v>0</x:v>
      </x:c>
      <x:c r="N23" s="10">
        <x:f t="shared" si="1"/>
        <x:v>0</x:v>
      </x:c>
      <x:c r="O23" s="10">
        <x:v>1</x:v>
      </x:c>
      <x:c r="P23" s="10">
        <x:v>0</x:v>
      </x:c>
      <x:c r="Q23" s="20" t="s">
        <x:v>42</x:v>
      </x:c>
      <x:c r="R23"/>
    </x:row>
    <x:row r="24" s="16" customFormat="1" ht="15" customHeight="1">
      <x:c r="A24"/>
      <x:c r="B24" s="20"/>
      <x:c r="C24" s="18" t="s">
        <x:v>57</x:v>
      </x:c>
      <x:c r="D24" s="19" t="str">
        <x:f t="shared" si="0"/>
        <x:v>SD 1.1 x5NUK(C)</x:v>
      </x:c>
      <x:c r="E24" s="20" t="s">
        <x:v>58</x:v>
      </x:c>
      <x:c r="F24" s="18">
        <x:v>60623</x:v>
      </x:c>
      <x:c r="G24" s="18">
        <x:v>71001</x:v>
      </x:c>
      <x:c r="H24" s="21">
        <x:v>0.63055555555555554</x:v>
      </x:c>
      <x:c r="I24" s="20">
        <x:v>3</x:v>
      </x:c>
      <x:c r="J24" s="20">
        <x:v>14</x:v>
      </x:c>
      <x:c r="K24" s="10">
        <x:v>0</x:v>
      </x:c>
      <x:c r="L24" s="10">
        <x:v>0</x:v>
      </x:c>
      <x:c r="M24" s="10">
        <x:v>0</x:v>
      </x:c>
      <x:c r="N24" s="10">
        <x:f t="shared" si="1"/>
        <x:v>0</x:v>
      </x:c>
      <x:c r="O24" s="10">
        <x:v>1</x:v>
      </x:c>
      <x:c r="P24" s="10">
        <x:v>0</x:v>
      </x:c>
      <x:c r="Q24" s="20" t="s">
        <x:v>41</x:v>
      </x:c>
      <x:c r="R24"/>
    </x:row>
    <x:row r="25" s="16" customFormat="1" ht="15" customHeight="1">
      <x:c r="A25"/>
      <x:c r="B25" s="27"/>
      <x:c r="C25" s="18" t="s">
        <x:v>57</x:v>
      </x:c>
      <x:c r="D25" s="19" t="str">
        <x:f t="shared" si="0"/>
        <x:v>SD 1.1 x5NUK(C)</x:v>
      </x:c>
      <x:c r="E25" s="20" t="s">
        <x:v>58</x:v>
      </x:c>
      <x:c r="F25" s="18">
        <x:v>60623</x:v>
      </x:c>
      <x:c r="G25" s="18">
        <x:v>71001</x:v>
      </x:c>
      <x:c r="H25" s="28">
        <x:v>0.63055555555555554</x:v>
      </x:c>
      <x:c r="I25" s="27">
        <x:v>6</x:v>
      </x:c>
      <x:c r="J25" s="27">
        <x:v>15</x:v>
      </x:c>
      <x:c r="K25" s="29">
        <x:v>0</x:v>
      </x:c>
      <x:c r="L25" s="29">
        <x:v>0</x:v>
      </x:c>
      <x:c r="M25" s="29">
        <x:v>1</x:v>
      </x:c>
      <x:c r="N25" s="29" t="n">
        <x:f>L25+M25</x:f>
        <x:v>1</x:v>
      </x:c>
      <x:c r="O25" s="29">
        <x:v>0</x:v>
      </x:c>
      <x:c r="P25" s="29">
        <x:v>0</x:v>
      </x:c>
      <x:c r="Q25" s="27" t="s">
        <x:v>42</x:v>
      </x:c>
      <x:c r="R25"/>
    </x:row>
    <x:row r="26" s="16" customFormat="1">
      <x:c r="A26"/>
      <x:c r="B26" s="31"/>
      <x:c r="C26" s="32"/>
      <x:c r="D26" s="33"/>
      <x:c r="E26" s="31"/>
      <x:c r="F26" s="32"/>
      <x:c r="G26" s="32"/>
      <x:c r="H26" s="34"/>
      <x:c r="I26" s="34"/>
      <x:c r="J26" s="31"/>
      <x:c r="K26" s="35"/>
      <x:c r="L26" s="35"/>
      <x:c r="M26" s="35"/>
      <x:c r="N26" s="35"/>
      <x:c r="O26" s="35"/>
      <x:c r="P26" s="35"/>
      <x:c r="Q26" s="31"/>
      <x:c r="R26"/>
    </x:row>
    <x:row r="27" s="16" customFormat="1">
      <x:c r="A27"/>
      <x:c r="F27" s="22"/>
      <x:c r="H27" s="23"/>
      <x:c r="I27" s="23"/>
      <x:c r="J27" s="23"/>
      <x:c r="K27" s="24"/>
      <x:c r="L27" s="24"/>
      <x:c r="M27" s="24"/>
      <x:c r="N27" s="24"/>
      <x:c r="O27" s="24"/>
      <x:c r="P27" s="24"/>
      <x:c r="R27"/>
    </x:row>
    <x:row r="28" s="16" customFormat="1">
      <x:c r="A28"/>
      <x:c r="F28" s="22"/>
      <x:c r="H28" s="23"/>
      <x:c r="I28" s="23"/>
      <x:c r="J28" s="23"/>
      <x:c r="K28" s="24"/>
      <x:c r="L28" s="24"/>
      <x:c r="M28" s="24"/>
      <x:c r="N28" s="24"/>
      <x:c r="O28" s="24"/>
      <x:c r="P28" s="24"/>
      <x:c r="R28"/>
    </x:row>
    <x:row r="29" s="16" customFormat="1">
      <x:c r="A29"/>
      <x:c r="B29" s="57" t="s">
        <x:v>20</x:v>
      </x:c>
      <x:c r="C29" s="57" t="s">
        <x:v>21</x:v>
      </x:c>
      <x:c r="D29" s="56" t="s">
        <x:v>22</x:v>
      </x:c>
      <x:c r="E29" s="9" t="s">
        <x:v>23</x:v>
      </x:c>
      <x:c r="F29" s="14" t="s">
        <x:v>24</x:v>
      </x:c>
      <x:c r="G29" s="9" t="s">
        <x:v>24</x:v>
      </x:c>
      <x:c r="H29" s="58" t="s">
        <x:v>25</x:v>
      </x:c>
      <x:c r="I29" s="15"/>
      <x:c r="J29" s="15"/>
      <x:c r="K29" s="59" t="s">
        <x:v>26</x:v>
      </x:c>
      <x:c r="L29" s="59"/>
      <x:c r="M29" s="59"/>
      <x:c r="N29" s="59"/>
      <x:c r="O29" s="59"/>
      <x:c r="P29" s="59"/>
      <x:c r="Q29" s="56" t="s">
        <x:v>27</x:v>
      </x:c>
      <x:c r="R29"/>
    </x:row>
    <x:row r="30" s="16" customFormat="1" ht="28.799999237060547">
      <x:c r="A30"/>
      <x:c r="B30" s="56"/>
      <x:c r="C30" s="56"/>
      <x:c r="D30" s="56"/>
      <x:c r="E30" s="7" t="s">
        <x:v>28</x:v>
      </x:c>
      <x:c r="F30" s="8" t="s">
        <x:v>29</x:v>
      </x:c>
      <x:c r="G30" s="8" t="s">
        <x:v>30</x:v>
      </x:c>
      <x:c r="H30" s="58"/>
      <x:c r="I30" s="15" t="s">
        <x:v>31</x:v>
      </x:c>
      <x:c r="J30" s="15" t="s">
        <x:v>32</x:v>
      </x:c>
      <x:c r="K30" s="17" t="s">
        <x:v>33</x:v>
      </x:c>
      <x:c r="L30" s="17" t="s">
        <x:v>34</x:v>
      </x:c>
      <x:c r="M30" s="17" t="s">
        <x:v>35</x:v>
      </x:c>
      <x:c r="N30" s="17" t="s">
        <x:v>36</x:v>
      </x:c>
      <x:c r="O30" s="17" t="s">
        <x:v>10</x:v>
      </x:c>
      <x:c r="P30" s="17" t="s">
        <x:v>37</x:v>
      </x:c>
      <x:c r="Q30" s="56"/>
      <x:c r="R30"/>
    </x:row>
    <x:row r="31" s="16" customFormat="1">
      <x:c r="A31"/>
      <x:c r="B31" s="18" t="s">
        <x:v>38</x:v>
      </x:c>
      <x:c r="C31" s="18" t="s">
        <x:v>57</x:v>
      </x:c>
      <x:c r="D31" s="19" t="str">
        <x:f t="shared" ref="D31:D45" si="2">$B$1</x:f>
        <x:v>SD 1.1 x5NUK(C)</x:v>
      </x:c>
      <x:c r="E31" s="20" t="s">
        <x:v>58</x:v>
      </x:c>
      <x:c r="F31" s="18">
        <x:v>60623</x:v>
      </x:c>
      <x:c r="G31" s="18">
        <x:v>71001</x:v>
      </x:c>
      <x:c r="H31" s="21">
        <x:v>0.63055555555555554</x:v>
      </x:c>
      <x:c r="I31" s="20">
        <x:v>3</x:v>
      </x:c>
      <x:c r="J31" s="20">
        <x:v>1</x:v>
      </x:c>
      <x:c r="K31" s="10">
        <x:v>0</x:v>
      </x:c>
      <x:c r="L31" s="10">
        <x:v>0</x:v>
      </x:c>
      <x:c r="M31" s="10">
        <x:v>1</x:v>
      </x:c>
      <x:c r="N31" s="10" t="n">
        <x:f>L31+M31</x:f>
        <x:v>1</x:v>
      </x:c>
      <x:c r="O31" s="10">
        <x:v>0</x:v>
      </x:c>
      <x:c r="P31" s="10">
        <x:v>0</x:v>
      </x:c>
      <x:c r="Q31" s="20" t="s">
        <x:v>43</x:v>
      </x:c>
      <x:c r="R31"/>
    </x:row>
    <x:row r="32" s="16" customFormat="1">
      <x:c r="A32"/>
      <x:c r="B32" s="18"/>
      <x:c r="C32" s="18" t="s">
        <x:v>57</x:v>
      </x:c>
      <x:c r="D32" s="19" t="str">
        <x:f t="shared" si="2"/>
        <x:v>SD 1.1 x5NUK(C)</x:v>
      </x:c>
      <x:c r="E32" s="20" t="s">
        <x:v>58</x:v>
      </x:c>
      <x:c r="F32" s="18">
        <x:v>60623</x:v>
      </x:c>
      <x:c r="G32" s="18">
        <x:v>71001</x:v>
      </x:c>
      <x:c r="H32" s="21">
        <x:v>0.63055555555555554</x:v>
      </x:c>
      <x:c r="I32" s="20">
        <x:v>6</x:v>
      </x:c>
      <x:c r="J32" s="20">
        <x:v>2</x:v>
      </x:c>
      <x:c r="K32" s="10">
        <x:v>0</x:v>
      </x:c>
      <x:c r="L32" s="10">
        <x:v>0</x:v>
      </x:c>
      <x:c r="M32" s="10">
        <x:v>0</x:v>
      </x:c>
      <x:c r="N32" s="10" t="n">
        <x:f>L32+M32</x:f>
        <x:v>0</x:v>
      </x:c>
      <x:c r="O32" s="10">
        <x:v>0</x:v>
      </x:c>
      <x:c r="P32" s="10">
        <x:v>0</x:v>
      </x:c>
      <x:c r="Q32" s="20" t="s">
        <x:v>43</x:v>
      </x:c>
      <x:c r="R32"/>
    </x:row>
    <x:row r="33" s="16" customFormat="1">
      <x:c r="A33"/>
      <x:c r="B33" s="18"/>
      <x:c r="C33" s="18" t="s">
        <x:v>57</x:v>
      </x:c>
      <x:c r="D33" s="19" t="str">
        <x:f t="shared" si="2"/>
        <x:v>SD 1.1 x5NUK(C)</x:v>
      </x:c>
      <x:c r="E33" s="20" t="s">
        <x:v>58</x:v>
      </x:c>
      <x:c r="F33" s="18">
        <x:v>60623</x:v>
      </x:c>
      <x:c r="G33" s="18">
        <x:v>71001</x:v>
      </x:c>
      <x:c r="H33" s="21">
        <x:v>0.63055555555555554</x:v>
      </x:c>
      <x:c r="I33" s="20">
        <x:v>3</x:v>
      </x:c>
      <x:c r="J33" s="20">
        <x:v>3</x:v>
      </x:c>
      <x:c r="K33" s="10">
        <x:v>0</x:v>
      </x:c>
      <x:c r="L33" s="10">
        <x:v>0</x:v>
      </x:c>
      <x:c r="M33" s="10">
        <x:v>0</x:v>
      </x:c>
      <x:c r="N33" s="10" t="n">
        <x:f t="shared" ref="N33:N45" si="3">L33+M33</x:f>
        <x:v>0</x:v>
      </x:c>
      <x:c r="O33" s="10">
        <x:v>0</x:v>
      </x:c>
      <x:c r="P33" s="10">
        <x:v>0</x:v>
      </x:c>
      <x:c r="Q33" s="20" t="s">
        <x:v>43</x:v>
      </x:c>
      <x:c r="R33"/>
    </x:row>
    <x:row r="34" s="16" customFormat="1">
      <x:c r="A34"/>
      <x:c r="B34" s="20"/>
      <x:c r="C34" s="18" t="s">
        <x:v>57</x:v>
      </x:c>
      <x:c r="D34" s="19" t="str">
        <x:f t="shared" si="2"/>
        <x:v>SD 1.1 x5NUK(C)</x:v>
      </x:c>
      <x:c r="E34" s="20" t="s">
        <x:v>58</x:v>
      </x:c>
      <x:c r="F34" s="18">
        <x:v>60623</x:v>
      </x:c>
      <x:c r="G34" s="18">
        <x:v>71001</x:v>
      </x:c>
      <x:c r="H34" s="21">
        <x:v>0.63055555555555554</x:v>
      </x:c>
      <x:c r="I34" s="20">
        <x:v>3</x:v>
      </x:c>
      <x:c r="J34" s="20">
        <x:v>4</x:v>
      </x:c>
      <x:c r="K34" s="10">
        <x:v>0</x:v>
      </x:c>
      <x:c r="L34" s="10">
        <x:v>0</x:v>
      </x:c>
      <x:c r="M34" s="10">
        <x:v>0</x:v>
      </x:c>
      <x:c r="N34" s="10">
        <x:f t="shared" si="3"/>
        <x:v>0</x:v>
      </x:c>
      <x:c r="O34" s="10">
        <x:v>2</x:v>
      </x:c>
      <x:c r="P34" s="10">
        <x:v>0</x:v>
      </x:c>
      <x:c r="Q34" s="20" t="s">
        <x:v>43</x:v>
      </x:c>
      <x:c r="R34"/>
    </x:row>
    <x:row r="35" s="16" customFormat="1">
      <x:c r="A35"/>
      <x:c r="B35" s="20"/>
      <x:c r="C35" s="18" t="s">
        <x:v>57</x:v>
      </x:c>
      <x:c r="D35" s="19" t="str">
        <x:f t="shared" si="2"/>
        <x:v>SD 1.1 x5NUK(C)</x:v>
      </x:c>
      <x:c r="E35" s="20" t="s">
        <x:v>58</x:v>
      </x:c>
      <x:c r="F35" s="18">
        <x:v>60623</x:v>
      </x:c>
      <x:c r="G35" s="18">
        <x:v>71001</x:v>
      </x:c>
      <x:c r="H35" s="21">
        <x:v>0.63055555555555554</x:v>
      </x:c>
      <x:c r="I35" s="20">
        <x:v>6</x:v>
      </x:c>
      <x:c r="J35" s="20">
        <x:v>5</x:v>
      </x:c>
      <x:c r="K35" s="10">
        <x:v>0</x:v>
      </x:c>
      <x:c r="L35" s="10">
        <x:v>0</x:v>
      </x:c>
      <x:c r="M35" s="10">
        <x:v>0</x:v>
      </x:c>
      <x:c r="N35" s="10">
        <x:f t="shared" si="3"/>
        <x:v>0</x:v>
      </x:c>
      <x:c r="O35" s="10">
        <x:v>0</x:v>
      </x:c>
      <x:c r="P35" s="10">
        <x:v>0</x:v>
      </x:c>
      <x:c r="Q35" s="20" t="s">
        <x:v>43</x:v>
      </x:c>
      <x:c r="R35"/>
    </x:row>
    <x:row r="36" s="16" customFormat="1">
      <x:c r="A36"/>
      <x:c r="B36" s="20"/>
      <x:c r="C36" s="18" t="s">
        <x:v>57</x:v>
      </x:c>
      <x:c r="D36" s="19" t="str">
        <x:f t="shared" si="2"/>
        <x:v>SD 1.1 x5NUK(C)</x:v>
      </x:c>
      <x:c r="E36" s="20" t="s">
        <x:v>58</x:v>
      </x:c>
      <x:c r="F36" s="18">
        <x:v>60623</x:v>
      </x:c>
      <x:c r="G36" s="18">
        <x:v>71001</x:v>
      </x:c>
      <x:c r="H36" s="21">
        <x:v>0.63055555555555554</x:v>
      </x:c>
      <x:c r="I36" s="20">
        <x:v>3</x:v>
      </x:c>
      <x:c r="J36" s="20">
        <x:v>6</x:v>
      </x:c>
      <x:c r="K36" s="10">
        <x:v>0</x:v>
      </x:c>
      <x:c r="L36" s="10">
        <x:v>0</x:v>
      </x:c>
      <x:c r="M36" s="10">
        <x:v>0</x:v>
      </x:c>
      <x:c r="N36" s="10">
        <x:f t="shared" si="3"/>
        <x:v>0</x:v>
      </x:c>
      <x:c r="O36" s="10">
        <x:v>0</x:v>
      </x:c>
      <x:c r="P36" s="10">
        <x:v>0</x:v>
      </x:c>
      <x:c r="Q36" s="20" t="s">
        <x:v>43</x:v>
      </x:c>
      <x:c r="R36"/>
    </x:row>
    <x:row r="37" s="16" customFormat="1">
      <x:c r="A37"/>
      <x:c r="B37" s="18"/>
      <x:c r="C37" s="18" t="s">
        <x:v>57</x:v>
      </x:c>
      <x:c r="D37" s="19" t="str">
        <x:f t="shared" si="2"/>
        <x:v>SD 1.1 x5NUK(C)</x:v>
      </x:c>
      <x:c r="E37" s="20" t="s">
        <x:v>58</x:v>
      </x:c>
      <x:c r="F37" s="18">
        <x:v>60623</x:v>
      </x:c>
      <x:c r="G37" s="18">
        <x:v>71001</x:v>
      </x:c>
      <x:c r="H37" s="21">
        <x:v>0.63055555555555554</x:v>
      </x:c>
      <x:c r="I37" s="20">
        <x:v>6</x:v>
      </x:c>
      <x:c r="J37" s="20">
        <x:v>7</x:v>
      </x:c>
      <x:c r="K37" s="10">
        <x:v>0</x:v>
      </x:c>
      <x:c r="L37" s="10">
        <x:v>0</x:v>
      </x:c>
      <x:c r="M37" s="10">
        <x:v>3</x:v>
      </x:c>
      <x:c r="N37" s="10">
        <x:f t="shared" si="3"/>
        <x:v>3</x:v>
      </x:c>
      <x:c r="O37" s="10">
        <x:v>0</x:v>
      </x:c>
      <x:c r="P37" s="10">
        <x:v>0</x:v>
      </x:c>
      <x:c r="Q37" s="20" t="s">
        <x:v>43</x:v>
      </x:c>
      <x:c r="R37"/>
    </x:row>
    <x:row r="38" s="16" customFormat="1">
      <x:c r="A38"/>
      <x:c r="B38" s="18"/>
      <x:c r="C38" s="18" t="s">
        <x:v>57</x:v>
      </x:c>
      <x:c r="D38" s="19" t="str">
        <x:f t="shared" si="2"/>
        <x:v>SD 1.1 x5NUK(C)</x:v>
      </x:c>
      <x:c r="E38" s="20" t="s">
        <x:v>58</x:v>
      </x:c>
      <x:c r="F38" s="18">
        <x:v>60623</x:v>
      </x:c>
      <x:c r="G38" s="18">
        <x:v>71001</x:v>
      </x:c>
      <x:c r="H38" s="21">
        <x:v>0.63055555555555554</x:v>
      </x:c>
      <x:c r="I38" s="20">
        <x:v>3</x:v>
      </x:c>
      <x:c r="J38" s="20">
        <x:v>8</x:v>
      </x:c>
      <x:c r="K38" s="10">
        <x:v>0</x:v>
      </x:c>
      <x:c r="L38" s="10">
        <x:v>0</x:v>
      </x:c>
      <x:c r="M38" s="10">
        <x:v>0</x:v>
      </x:c>
      <x:c r="N38" s="10">
        <x:f t="shared" si="3"/>
        <x:v>0</x:v>
      </x:c>
      <x:c r="O38" s="10">
        <x:v>2</x:v>
      </x:c>
      <x:c r="P38" s="10">
        <x:v>0</x:v>
      </x:c>
      <x:c r="Q38" s="20" t="s">
        <x:v>43</x:v>
      </x:c>
      <x:c r="R38"/>
    </x:row>
    <x:row r="39" s="16" customFormat="1">
      <x:c r="A39"/>
      <x:c r="B39" s="18"/>
      <x:c r="C39" s="18" t="s">
        <x:v>57</x:v>
      </x:c>
      <x:c r="D39" s="19" t="str">
        <x:f t="shared" si="2"/>
        <x:v>SD 1.1 x5NUK(C)</x:v>
      </x:c>
      <x:c r="E39" s="20" t="s">
        <x:v>58</x:v>
      </x:c>
      <x:c r="F39" s="18">
        <x:v>60623</x:v>
      </x:c>
      <x:c r="G39" s="18">
        <x:v>71001</x:v>
      </x:c>
      <x:c r="H39" s="21">
        <x:v>0.63055555555555554</x:v>
      </x:c>
      <x:c r="I39" s="20">
        <x:v>6</x:v>
      </x:c>
      <x:c r="J39" s="20">
        <x:v>9</x:v>
      </x:c>
      <x:c r="K39" s="10">
        <x:v>0</x:v>
      </x:c>
      <x:c r="L39" s="10">
        <x:v>0</x:v>
      </x:c>
      <x:c r="M39" s="10">
        <x:v>0</x:v>
      </x:c>
      <x:c r="N39" s="10">
        <x:f t="shared" si="3"/>
        <x:v>0</x:v>
      </x:c>
      <x:c r="O39" s="10">
        <x:v>0</x:v>
      </x:c>
      <x:c r="P39" s="10">
        <x:v>0</x:v>
      </x:c>
      <x:c r="Q39" s="20" t="s">
        <x:v>43</x:v>
      </x:c>
      <x:c r="R39"/>
    </x:row>
    <x:row r="40" s="16" customFormat="1">
      <x:c r="A40"/>
      <x:c r="B40" s="20"/>
      <x:c r="C40" s="18" t="s">
        <x:v>57</x:v>
      </x:c>
      <x:c r="D40" s="19" t="str">
        <x:f t="shared" si="2"/>
        <x:v>SD 1.1 x5NUK(C)</x:v>
      </x:c>
      <x:c r="E40" s="20" t="s">
        <x:v>58</x:v>
      </x:c>
      <x:c r="F40" s="18">
        <x:v>60623</x:v>
      </x:c>
      <x:c r="G40" s="18">
        <x:v>71001</x:v>
      </x:c>
      <x:c r="H40" s="21">
        <x:v>0.63055555555555554</x:v>
      </x:c>
      <x:c r="I40" s="20">
        <x:v>3</x:v>
      </x:c>
      <x:c r="J40" s="20">
        <x:v>10</x:v>
      </x:c>
      <x:c r="K40" s="10">
        <x:v>0</x:v>
      </x:c>
      <x:c r="L40" s="10">
        <x:v>0</x:v>
      </x:c>
      <x:c r="M40" s="10">
        <x:v>0</x:v>
      </x:c>
      <x:c r="N40" s="10">
        <x:f t="shared" si="3"/>
        <x:v>0</x:v>
      </x:c>
      <x:c r="O40" s="10">
        <x:v>0</x:v>
      </x:c>
      <x:c r="P40" s="10">
        <x:v>0</x:v>
      </x:c>
      <x:c r="Q40" s="20" t="s">
        <x:v>43</x:v>
      </x:c>
      <x:c r="R40"/>
    </x:row>
    <x:row r="41" s="16" customFormat="1">
      <x:c r="A41"/>
      <x:c r="B41" s="20"/>
      <x:c r="C41" s="18" t="s">
        <x:v>57</x:v>
      </x:c>
      <x:c r="D41" s="19" t="str">
        <x:f t="shared" si="2"/>
        <x:v>SD 1.1 x5NUK(C)</x:v>
      </x:c>
      <x:c r="E41" s="20" t="s">
        <x:v>58</x:v>
      </x:c>
      <x:c r="F41" s="18">
        <x:v>60623</x:v>
      </x:c>
      <x:c r="G41" s="18">
        <x:v>71001</x:v>
      </x:c>
      <x:c r="H41" s="21">
        <x:v>0.63055555555555554</x:v>
      </x:c>
      <x:c r="I41" s="20">
        <x:v>6</x:v>
      </x:c>
      <x:c r="J41" s="20">
        <x:v>11</x:v>
      </x:c>
      <x:c r="K41" s="10">
        <x:v>0</x:v>
      </x:c>
      <x:c r="L41" s="10">
        <x:v>0</x:v>
      </x:c>
      <x:c r="M41" s="10">
        <x:v>1</x:v>
      </x:c>
      <x:c r="N41" s="10">
        <x:f t="shared" si="3"/>
        <x:v>1</x:v>
      </x:c>
      <x:c r="O41" s="10">
        <x:v>0</x:v>
      </x:c>
      <x:c r="P41" s="10">
        <x:v>0</x:v>
      </x:c>
      <x:c r="Q41" s="20" t="s">
        <x:v>43</x:v>
      </x:c>
      <x:c r="R41"/>
    </x:row>
    <x:row r="42" s="16" customFormat="1">
      <x:c r="A42"/>
      <x:c r="B42" s="20"/>
      <x:c r="C42" s="18" t="s">
        <x:v>57</x:v>
      </x:c>
      <x:c r="D42" s="19" t="str">
        <x:f t="shared" si="2"/>
        <x:v>SD 1.1 x5NUK(C)</x:v>
      </x:c>
      <x:c r="E42" s="20" t="s">
        <x:v>58</x:v>
      </x:c>
      <x:c r="F42" s="18">
        <x:v>60623</x:v>
      </x:c>
      <x:c r="G42" s="18">
        <x:v>71001</x:v>
      </x:c>
      <x:c r="H42" s="21">
        <x:v>0.63055555555555554</x:v>
      </x:c>
      <x:c r="I42" s="20">
        <x:v>3</x:v>
      </x:c>
      <x:c r="J42" s="20">
        <x:v>12</x:v>
      </x:c>
      <x:c r="K42" s="10">
        <x:v>0</x:v>
      </x:c>
      <x:c r="L42" s="10">
        <x:v>0</x:v>
      </x:c>
      <x:c r="M42" s="10">
        <x:v>2</x:v>
      </x:c>
      <x:c r="N42" s="10">
        <x:f t="shared" si="3"/>
        <x:v>2</x:v>
      </x:c>
      <x:c r="O42" s="10">
        <x:v>0</x:v>
      </x:c>
      <x:c r="P42" s="10">
        <x:v>0</x:v>
      </x:c>
      <x:c r="Q42" s="20" t="s">
        <x:v>43</x:v>
      </x:c>
      <x:c r="R42"/>
    </x:row>
    <x:row r="43" s="16" customFormat="1">
      <x:c r="A43"/>
      <x:c r="B43" s="20"/>
      <x:c r="C43" s="18" t="s">
        <x:v>57</x:v>
      </x:c>
      <x:c r="D43" s="19" t="str">
        <x:f t="shared" si="2"/>
        <x:v>SD 1.1 x5NUK(C)</x:v>
      </x:c>
      <x:c r="E43" s="20" t="s">
        <x:v>58</x:v>
      </x:c>
      <x:c r="F43" s="18">
        <x:v>60623</x:v>
      </x:c>
      <x:c r="G43" s="18">
        <x:v>71001</x:v>
      </x:c>
      <x:c r="H43" s="21">
        <x:v>0.63055555555555554</x:v>
      </x:c>
      <x:c r="I43" s="20">
        <x:v>6</x:v>
      </x:c>
      <x:c r="J43" s="20">
        <x:v>13</x:v>
      </x:c>
      <x:c r="K43" s="10">
        <x:v>0</x:v>
      </x:c>
      <x:c r="L43" s="10">
        <x:v>0</x:v>
      </x:c>
      <x:c r="M43" s="10">
        <x:v>1</x:v>
      </x:c>
      <x:c r="N43" s="10">
        <x:f t="shared" si="3"/>
        <x:v>1</x:v>
      </x:c>
      <x:c r="O43" s="10">
        <x:v>1</x:v>
      </x:c>
      <x:c r="P43" s="10">
        <x:v>0</x:v>
      </x:c>
      <x:c r="Q43" s="20" t="s">
        <x:v>43</x:v>
      </x:c>
      <x:c r="R43"/>
    </x:row>
    <x:row r="44" s="16" customFormat="1">
      <x:c r="A44"/>
      <x:c r="B44" s="20"/>
      <x:c r="C44" s="18" t="s">
        <x:v>57</x:v>
      </x:c>
      <x:c r="D44" s="19" t="str">
        <x:f t="shared" si="2"/>
        <x:v>SD 1.1 x5NUK(C)</x:v>
      </x:c>
      <x:c r="E44" s="20" t="s">
        <x:v>58</x:v>
      </x:c>
      <x:c r="F44" s="18">
        <x:v>60623</x:v>
      </x:c>
      <x:c r="G44" s="18">
        <x:v>71001</x:v>
      </x:c>
      <x:c r="H44" s="21">
        <x:v>0.63055555555555554</x:v>
      </x:c>
      <x:c r="I44" s="20">
        <x:v>3</x:v>
      </x:c>
      <x:c r="J44" s="20">
        <x:v>14</x:v>
      </x:c>
      <x:c r="K44" s="10">
        <x:v>0</x:v>
      </x:c>
      <x:c r="L44" s="10">
        <x:v>0</x:v>
      </x:c>
      <x:c r="M44" s="10">
        <x:v>0</x:v>
      </x:c>
      <x:c r="N44" s="10">
        <x:f t="shared" si="3"/>
        <x:v>0</x:v>
      </x:c>
      <x:c r="O44" s="10">
        <x:v>0</x:v>
      </x:c>
      <x:c r="P44" s="10">
        <x:v>0</x:v>
      </x:c>
      <x:c r="Q44" s="20" t="s">
        <x:v>43</x:v>
      </x:c>
      <x:c r="R44"/>
    </x:row>
    <x:row r="45" s="16" customFormat="1">
      <x:c r="A45"/>
      <x:c r="B45" s="20"/>
      <x:c r="C45" s="18" t="s">
        <x:v>57</x:v>
      </x:c>
      <x:c r="D45" s="19" t="str">
        <x:f t="shared" si="2"/>
        <x:v>SD 1.1 x5NUK(C)</x:v>
      </x:c>
      <x:c r="E45" s="20" t="s">
        <x:v>58</x:v>
      </x:c>
      <x:c r="F45" s="18">
        <x:v>60623</x:v>
      </x:c>
      <x:c r="G45" s="18">
        <x:v>71001</x:v>
      </x:c>
      <x:c r="H45" s="21">
        <x:v>0.63055555555555554</x:v>
      </x:c>
      <x:c r="I45" s="20">
        <x:v>6</x:v>
      </x:c>
      <x:c r="J45" s="20">
        <x:v>15</x:v>
      </x:c>
      <x:c r="K45" s="10">
        <x:v>0</x:v>
      </x:c>
      <x:c r="L45" s="10">
        <x:v>0</x:v>
      </x:c>
      <x:c r="M45" s="10">
        <x:v>0</x:v>
      </x:c>
      <x:c r="N45" s="10">
        <x:f t="shared" si="3"/>
        <x:v>0</x:v>
      </x:c>
      <x:c r="O45" s="10">
        <x:v>0</x:v>
      </x:c>
      <x:c r="P45" s="10">
        <x:v>0</x:v>
      </x:c>
      <x:c r="Q45" s="20" t="s">
        <x:v>43</x:v>
      </x:c>
      <x:c r="R45"/>
    </x:row>
    <x:row r="46" s="16" customFormat="1">
      <x:c r="A46"/>
      <x:c r="F46" s="22"/>
      <x:c r="H46" s="23"/>
      <x:c r="I46" s="23"/>
      <x:c r="J46" s="23"/>
      <x:c r="K46" s="24"/>
      <x:c r="L46" s="24"/>
      <x:c r="M46" s="24"/>
      <x:c r="N46" s="24"/>
      <x:c r="O46" s="24"/>
      <x:c r="P46" s="24"/>
      <x:c r="R46"/>
    </x:row>
    <x:row r="47" s="16" customFormat="1">
      <x:c r="A47"/>
      <x:c r="F47" s="22"/>
      <x:c r="H47" s="23"/>
      <x:c r="I47" s="23"/>
      <x:c r="J47" s="23"/>
      <x:c r="K47" s="24"/>
      <x:c r="L47" s="24"/>
      <x:c r="M47" s="24"/>
      <x:c r="N47" s="24"/>
      <x:c r="O47" s="24"/>
      <x:c r="P47" s="24"/>
      <x:c r="R47"/>
    </x:row>
    <x:row r="48" s="16" customFormat="1">
      <x:c r="A48"/>
      <x:c r="F48" s="22"/>
      <x:c r="H48" s="23"/>
      <x:c r="I48" s="23"/>
      <x:c r="J48" s="23"/>
      <x:c r="K48" s="24"/>
      <x:c r="L48" s="24"/>
      <x:c r="M48" s="24"/>
      <x:c r="N48" s="24"/>
      <x:c r="O48" s="24"/>
      <x:c r="P48" s="24"/>
      <x:c r="R48"/>
    </x:row>
    <x:row r="49" s="16" customFormat="1" ht="14.550000190734863" customHeight="1">
      <x:c r="A49"/>
      <x:c r="B49" s="57" t="s">
        <x:v>20</x:v>
      </x:c>
      <x:c r="C49" s="57" t="s">
        <x:v>21</x:v>
      </x:c>
      <x:c r="D49" s="56" t="s">
        <x:v>22</x:v>
      </x:c>
      <x:c r="E49" s="9" t="s">
        <x:v>23</x:v>
      </x:c>
      <x:c r="F49" s="14" t="s">
        <x:v>24</x:v>
      </x:c>
      <x:c r="G49" s="9" t="s">
        <x:v>24</x:v>
      </x:c>
      <x:c r="H49" s="58" t="s">
        <x:v>25</x:v>
      </x:c>
      <x:c r="I49" s="15"/>
      <x:c r="J49" s="15"/>
      <x:c r="K49" s="59" t="s">
        <x:v>26</x:v>
      </x:c>
      <x:c r="L49" s="59"/>
      <x:c r="M49" s="59"/>
      <x:c r="N49" s="59"/>
      <x:c r="O49" s="59"/>
      <x:c r="P49" s="59"/>
      <x:c r="Q49" s="56" t="s">
        <x:v>27</x:v>
      </x:c>
      <x:c r="R49"/>
    </x:row>
    <x:row r="50" s="16" customFormat="1" ht="28.799999237060547">
      <x:c r="A50"/>
      <x:c r="B50" s="56"/>
      <x:c r="C50" s="56"/>
      <x:c r="D50" s="56"/>
      <x:c r="E50" s="7" t="s">
        <x:v>28</x:v>
      </x:c>
      <x:c r="F50" s="8" t="s">
        <x:v>29</x:v>
      </x:c>
      <x:c r="G50" s="8" t="s">
        <x:v>30</x:v>
      </x:c>
      <x:c r="H50" s="58"/>
      <x:c r="I50" s="15" t="s">
        <x:v>31</x:v>
      </x:c>
      <x:c r="J50" s="15" t="s">
        <x:v>32</x:v>
      </x:c>
      <x:c r="K50" s="17" t="s">
        <x:v>33</x:v>
      </x:c>
      <x:c r="L50" s="17" t="s">
        <x:v>34</x:v>
      </x:c>
      <x:c r="M50" s="17" t="s">
        <x:v>35</x:v>
      </x:c>
      <x:c r="N50" s="17" t="s">
        <x:v>36</x:v>
      </x:c>
      <x:c r="O50" s="17" t="s">
        <x:v>10</x:v>
      </x:c>
      <x:c r="P50" s="17" t="s">
        <x:v>37</x:v>
      </x:c>
      <x:c r="Q50" s="56"/>
      <x:c r="R50"/>
    </x:row>
    <x:row r="51" s="16" customFormat="1">
      <x:c r="A51"/>
      <x:c r="B51" s="18" t="s">
        <x:v>38</x:v>
      </x:c>
      <x:c r="C51" s="18" t="s">
        <x:v>57</x:v>
      </x:c>
      <x:c r="D51" s="19" t="str">
        <x:f t="shared" ref="D51:D65" si="4">$B$1</x:f>
        <x:v>SD 1.1 x5NUK(C)</x:v>
      </x:c>
      <x:c r="E51" s="20" t="s">
        <x:v>58</x:v>
      </x:c>
      <x:c r="F51" s="18">
        <x:v>60623</x:v>
      </x:c>
      <x:c r="G51" s="18">
        <x:v>71001</x:v>
      </x:c>
      <x:c r="H51" s="21">
        <x:v>0.63055555555555554</x:v>
      </x:c>
      <x:c r="I51" s="20">
        <x:v>3</x:v>
      </x:c>
      <x:c r="J51" s="20">
        <x:v>1</x:v>
      </x:c>
      <x:c r="K51" s="10">
        <x:v>0</x:v>
      </x:c>
      <x:c r="L51" s="10">
        <x:v>0</x:v>
      </x:c>
      <x:c r="M51" s="10">
        <x:v>0</x:v>
      </x:c>
      <x:c r="N51" s="10" t="n">
        <x:f>L51+M51</x:f>
        <x:v>0</x:v>
      </x:c>
      <x:c r="O51" s="10">
        <x:v>1</x:v>
      </x:c>
      <x:c r="P51" s="10">
        <x:v>0</x:v>
      </x:c>
      <x:c r="Q51" s="20" t="s">
        <x:v>44</x:v>
      </x:c>
      <x:c r="R51"/>
    </x:row>
    <x:row r="52" s="16" customFormat="1">
      <x:c r="A52"/>
      <x:c r="B52" s="18"/>
      <x:c r="C52" s="18" t="s">
        <x:v>57</x:v>
      </x:c>
      <x:c r="D52" s="19" t="str">
        <x:f t="shared" si="4"/>
        <x:v>SD 1.1 x5NUK(C)</x:v>
      </x:c>
      <x:c r="E52" s="20" t="s">
        <x:v>58</x:v>
      </x:c>
      <x:c r="F52" s="18">
        <x:v>60623</x:v>
      </x:c>
      <x:c r="G52" s="18">
        <x:v>71001</x:v>
      </x:c>
      <x:c r="H52" s="21">
        <x:v>0.63055555555555554</x:v>
      </x:c>
      <x:c r="I52" s="20">
        <x:v>6</x:v>
      </x:c>
      <x:c r="J52" s="20">
        <x:v>2</x:v>
      </x:c>
      <x:c r="K52" s="10">
        <x:v>0</x:v>
      </x:c>
      <x:c r="L52" s="10">
        <x:v>0</x:v>
      </x:c>
      <x:c r="M52" s="10">
        <x:v>0</x:v>
      </x:c>
      <x:c r="N52" s="10" t="n">
        <x:f>L52+M52</x:f>
        <x:v>0</x:v>
      </x:c>
      <x:c r="O52" s="10">
        <x:v>0</x:v>
      </x:c>
      <x:c r="P52" s="10">
        <x:v>0</x:v>
      </x:c>
      <x:c r="Q52" s="20" t="s">
        <x:v>44</x:v>
      </x:c>
      <x:c r="R52"/>
    </x:row>
    <x:row r="53" s="16" customFormat="1">
      <x:c r="A53"/>
      <x:c r="B53" s="18"/>
      <x:c r="C53" s="18" t="s">
        <x:v>57</x:v>
      </x:c>
      <x:c r="D53" s="19" t="str">
        <x:f t="shared" si="4"/>
        <x:v>SD 1.1 x5NUK(C)</x:v>
      </x:c>
      <x:c r="E53" s="20" t="s">
        <x:v>58</x:v>
      </x:c>
      <x:c r="F53" s="18">
        <x:v>60623</x:v>
      </x:c>
      <x:c r="G53" s="18">
        <x:v>71001</x:v>
      </x:c>
      <x:c r="H53" s="21">
        <x:v>0.63055555555555554</x:v>
      </x:c>
      <x:c r="I53" s="20">
        <x:v>3</x:v>
      </x:c>
      <x:c r="J53" s="20">
        <x:v>3</x:v>
      </x:c>
      <x:c r="K53" s="10">
        <x:v>0</x:v>
      </x:c>
      <x:c r="L53" s="10">
        <x:v>0</x:v>
      </x:c>
      <x:c r="M53" s="10">
        <x:v>2</x:v>
      </x:c>
      <x:c r="N53" s="10" t="n">
        <x:f t="shared" ref="N53:N65" si="5">L53+M53</x:f>
        <x:v>2</x:v>
      </x:c>
      <x:c r="O53" s="10">
        <x:v>0</x:v>
      </x:c>
      <x:c r="P53" s="10">
        <x:v>0</x:v>
      </x:c>
      <x:c r="Q53" s="20" t="s">
        <x:v>44</x:v>
      </x:c>
      <x:c r="R53"/>
    </x:row>
    <x:row r="54" s="16" customFormat="1">
      <x:c r="A54"/>
      <x:c r="B54" s="20"/>
      <x:c r="C54" s="18" t="s">
        <x:v>57</x:v>
      </x:c>
      <x:c r="D54" s="19" t="str">
        <x:f t="shared" si="4"/>
        <x:v>SD 1.1 x5NUK(C)</x:v>
      </x:c>
      <x:c r="E54" s="20" t="s">
        <x:v>58</x:v>
      </x:c>
      <x:c r="F54" s="18">
        <x:v>60623</x:v>
      </x:c>
      <x:c r="G54" s="18">
        <x:v>71001</x:v>
      </x:c>
      <x:c r="H54" s="21">
        <x:v>0.63055555555555554</x:v>
      </x:c>
      <x:c r="I54" s="20">
        <x:v>6</x:v>
      </x:c>
      <x:c r="J54" s="20">
        <x:v>4</x:v>
      </x:c>
      <x:c r="K54" s="10">
        <x:v>0</x:v>
      </x:c>
      <x:c r="L54" s="10">
        <x:v>0</x:v>
      </x:c>
      <x:c r="M54" s="10">
        <x:v>0</x:v>
      </x:c>
      <x:c r="N54" s="10">
        <x:f t="shared" si="5"/>
        <x:v>0</x:v>
      </x:c>
      <x:c r="O54" s="10">
        <x:v>0</x:v>
      </x:c>
      <x:c r="P54" s="10">
        <x:v>0</x:v>
      </x:c>
      <x:c r="Q54" s="20" t="s">
        <x:v>44</x:v>
      </x:c>
      <x:c r="R54"/>
    </x:row>
    <x:row r="55" s="16" customFormat="1">
      <x:c r="A55"/>
      <x:c r="B55" s="20"/>
      <x:c r="C55" s="18" t="s">
        <x:v>57</x:v>
      </x:c>
      <x:c r="D55" s="19" t="str">
        <x:f t="shared" si="4"/>
        <x:v>SD 1.1 x5NUK(C)</x:v>
      </x:c>
      <x:c r="E55" s="20" t="s">
        <x:v>58</x:v>
      </x:c>
      <x:c r="F55" s="18">
        <x:v>60623</x:v>
      </x:c>
      <x:c r="G55" s="18">
        <x:v>71001</x:v>
      </x:c>
      <x:c r="H55" s="21">
        <x:v>0.63055555555555554</x:v>
      </x:c>
      <x:c r="I55" s="20">
        <x:v>3</x:v>
      </x:c>
      <x:c r="J55" s="20">
        <x:v>5</x:v>
      </x:c>
      <x:c r="K55" s="10">
        <x:v>0</x:v>
      </x:c>
      <x:c r="L55" s="10">
        <x:v>0</x:v>
      </x:c>
      <x:c r="M55" s="10">
        <x:v>1</x:v>
      </x:c>
      <x:c r="N55" s="10">
        <x:f t="shared" si="5"/>
        <x:v>1</x:v>
      </x:c>
      <x:c r="O55" s="10">
        <x:v>0</x:v>
      </x:c>
      <x:c r="P55" s="10">
        <x:v>0</x:v>
      </x:c>
      <x:c r="Q55" s="20" t="s">
        <x:v>44</x:v>
      </x:c>
      <x:c r="R55"/>
    </x:row>
    <x:row r="56" s="16" customFormat="1">
      <x:c r="A56"/>
      <x:c r="B56" s="20"/>
      <x:c r="C56" s="18" t="s">
        <x:v>57</x:v>
      </x:c>
      <x:c r="D56" s="19" t="str">
        <x:f t="shared" si="4"/>
        <x:v>SD 1.1 x5NUK(C)</x:v>
      </x:c>
      <x:c r="E56" s="20" t="s">
        <x:v>58</x:v>
      </x:c>
      <x:c r="F56" s="18">
        <x:v>60623</x:v>
      </x:c>
      <x:c r="G56" s="18">
        <x:v>71001</x:v>
      </x:c>
      <x:c r="H56" s="21">
        <x:v>0.63055555555555554</x:v>
      </x:c>
      <x:c r="I56" s="20">
        <x:v>6</x:v>
      </x:c>
      <x:c r="J56" s="20">
        <x:v>6</x:v>
      </x:c>
      <x:c r="K56" s="10">
        <x:v>0</x:v>
      </x:c>
      <x:c r="L56" s="10">
        <x:v>0</x:v>
      </x:c>
      <x:c r="M56" s="10">
        <x:v>1</x:v>
      </x:c>
      <x:c r="N56" s="10">
        <x:f t="shared" si="5"/>
        <x:v>1</x:v>
      </x:c>
      <x:c r="O56" s="10">
        <x:v>0</x:v>
      </x:c>
      <x:c r="P56" s="10">
        <x:v>0</x:v>
      </x:c>
      <x:c r="Q56" s="20" t="s">
        <x:v>44</x:v>
      </x:c>
      <x:c r="R56"/>
    </x:row>
    <x:row r="57" s="16" customFormat="1">
      <x:c r="A57"/>
      <x:c r="B57" s="18"/>
      <x:c r="C57" s="18" t="s">
        <x:v>57</x:v>
      </x:c>
      <x:c r="D57" s="19" t="str">
        <x:f t="shared" si="4"/>
        <x:v>SD 1.1 x5NUK(C)</x:v>
      </x:c>
      <x:c r="E57" s="20" t="s">
        <x:v>58</x:v>
      </x:c>
      <x:c r="F57" s="18">
        <x:v>60623</x:v>
      </x:c>
      <x:c r="G57" s="18">
        <x:v>71001</x:v>
      </x:c>
      <x:c r="H57" s="21">
        <x:v>0.63055555555555554</x:v>
      </x:c>
      <x:c r="I57" s="20">
        <x:v>3</x:v>
      </x:c>
      <x:c r="J57" s="20">
        <x:v>7</x:v>
      </x:c>
      <x:c r="K57" s="10">
        <x:v>0</x:v>
      </x:c>
      <x:c r="L57" s="10">
        <x:v>0</x:v>
      </x:c>
      <x:c r="M57" s="10">
        <x:v>0</x:v>
      </x:c>
      <x:c r="N57" s="10">
        <x:f t="shared" si="5"/>
        <x:v>0</x:v>
      </x:c>
      <x:c r="O57" s="10">
        <x:v>0</x:v>
      </x:c>
      <x:c r="P57" s="10">
        <x:v>0</x:v>
      </x:c>
      <x:c r="Q57" s="20" t="s">
        <x:v>44</x:v>
      </x:c>
      <x:c r="R57"/>
    </x:row>
    <x:row r="58" s="16" customFormat="1">
      <x:c r="A58"/>
      <x:c r="B58" s="18"/>
      <x:c r="C58" s="18" t="s">
        <x:v>57</x:v>
      </x:c>
      <x:c r="D58" s="19" t="str">
        <x:f t="shared" si="4"/>
        <x:v>SD 1.1 x5NUK(C)</x:v>
      </x:c>
      <x:c r="E58" s="20" t="s">
        <x:v>58</x:v>
      </x:c>
      <x:c r="F58" s="18">
        <x:v>60623</x:v>
      </x:c>
      <x:c r="G58" s="18">
        <x:v>71001</x:v>
      </x:c>
      <x:c r="H58" s="21">
        <x:v>0.63055555555555554</x:v>
      </x:c>
      <x:c r="I58" s="20">
        <x:v>6</x:v>
      </x:c>
      <x:c r="J58" s="20">
        <x:v>8</x:v>
      </x:c>
      <x:c r="K58" s="10">
        <x:v>0</x:v>
      </x:c>
      <x:c r="L58" s="10">
        <x:v>0</x:v>
      </x:c>
      <x:c r="M58" s="10">
        <x:v>1</x:v>
      </x:c>
      <x:c r="N58" s="10">
        <x:f t="shared" si="5"/>
        <x:v>1</x:v>
      </x:c>
      <x:c r="O58" s="10">
        <x:v>0</x:v>
      </x:c>
      <x:c r="P58" s="10">
        <x:v>0</x:v>
      </x:c>
      <x:c r="Q58" s="20" t="s">
        <x:v>44</x:v>
      </x:c>
      <x:c r="R58"/>
    </x:row>
    <x:row r="59" s="16" customFormat="1">
      <x:c r="A59"/>
      <x:c r="B59" s="18"/>
      <x:c r="C59" s="18" t="s">
        <x:v>57</x:v>
      </x:c>
      <x:c r="D59" s="19" t="str">
        <x:f t="shared" si="4"/>
        <x:v>SD 1.1 x5NUK(C)</x:v>
      </x:c>
      <x:c r="E59" s="20" t="s">
        <x:v>58</x:v>
      </x:c>
      <x:c r="F59" s="18">
        <x:v>60623</x:v>
      </x:c>
      <x:c r="G59" s="18">
        <x:v>71001</x:v>
      </x:c>
      <x:c r="H59" s="21">
        <x:v>0.63055555555555554</x:v>
      </x:c>
      <x:c r="I59" s="20">
        <x:v>3</x:v>
      </x:c>
      <x:c r="J59" s="20">
        <x:v>9</x:v>
      </x:c>
      <x:c r="K59" s="10">
        <x:v>0</x:v>
      </x:c>
      <x:c r="L59" s="10">
        <x:v>0</x:v>
      </x:c>
      <x:c r="M59" s="10">
        <x:v>0</x:v>
      </x:c>
      <x:c r="N59" s="10">
        <x:f t="shared" si="5"/>
        <x:v>0</x:v>
      </x:c>
      <x:c r="O59" s="10">
        <x:v>0</x:v>
      </x:c>
      <x:c r="P59" s="10">
        <x:v>0</x:v>
      </x:c>
      <x:c r="Q59" s="20" t="s">
        <x:v>44</x:v>
      </x:c>
      <x:c r="R59"/>
    </x:row>
    <x:row r="60" s="16" customFormat="1">
      <x:c r="A60"/>
      <x:c r="B60" s="20"/>
      <x:c r="C60" s="18" t="s">
        <x:v>57</x:v>
      </x:c>
      <x:c r="D60" s="19" t="str">
        <x:f t="shared" si="4"/>
        <x:v>SD 1.1 x5NUK(C)</x:v>
      </x:c>
      <x:c r="E60" s="20" t="s">
        <x:v>58</x:v>
      </x:c>
      <x:c r="F60" s="18">
        <x:v>60623</x:v>
      </x:c>
      <x:c r="G60" s="18">
        <x:v>71001</x:v>
      </x:c>
      <x:c r="H60" s="21">
        <x:v>0.63055555555555554</x:v>
      </x:c>
      <x:c r="I60" s="20">
        <x:v>6</x:v>
      </x:c>
      <x:c r="J60" s="20">
        <x:v>10</x:v>
      </x:c>
      <x:c r="K60" s="10">
        <x:v>0</x:v>
      </x:c>
      <x:c r="L60" s="10">
        <x:v>0</x:v>
      </x:c>
      <x:c r="M60" s="10">
        <x:v>0</x:v>
      </x:c>
      <x:c r="N60" s="10">
        <x:f t="shared" si="5"/>
        <x:v>0</x:v>
      </x:c>
      <x:c r="O60" s="10">
        <x:v>0</x:v>
      </x:c>
      <x:c r="P60" s="10">
        <x:v>0</x:v>
      </x:c>
      <x:c r="Q60" s="20" t="s">
        <x:v>44</x:v>
      </x:c>
      <x:c r="R60"/>
    </x:row>
    <x:row r="61" s="16" customFormat="1">
      <x:c r="A61"/>
      <x:c r="B61" s="20"/>
      <x:c r="C61" s="18" t="s">
        <x:v>57</x:v>
      </x:c>
      <x:c r="D61" s="19" t="str">
        <x:f t="shared" si="4"/>
        <x:v>SD 1.1 x5NUK(C)</x:v>
      </x:c>
      <x:c r="E61" s="20" t="s">
        <x:v>58</x:v>
      </x:c>
      <x:c r="F61" s="18">
        <x:v>60623</x:v>
      </x:c>
      <x:c r="G61" s="18">
        <x:v>71001</x:v>
      </x:c>
      <x:c r="H61" s="21">
        <x:v>0.63055555555555554</x:v>
      </x:c>
      <x:c r="I61" s="20">
        <x:v>3</x:v>
      </x:c>
      <x:c r="J61" s="20">
        <x:v>11</x:v>
      </x:c>
      <x:c r="K61" s="10">
        <x:v>0</x:v>
      </x:c>
      <x:c r="L61" s="10">
        <x:v>0</x:v>
      </x:c>
      <x:c r="M61" s="10">
        <x:v>1</x:v>
      </x:c>
      <x:c r="N61" s="10">
        <x:f t="shared" si="5"/>
        <x:v>1</x:v>
      </x:c>
      <x:c r="O61" s="10">
        <x:v>0</x:v>
      </x:c>
      <x:c r="P61" s="10">
        <x:v>0</x:v>
      </x:c>
      <x:c r="Q61" s="20" t="s">
        <x:v>44</x:v>
      </x:c>
      <x:c r="R61"/>
    </x:row>
    <x:row r="62" s="16" customFormat="1">
      <x:c r="A62"/>
      <x:c r="B62" s="20"/>
      <x:c r="C62" s="18" t="s">
        <x:v>57</x:v>
      </x:c>
      <x:c r="D62" s="19" t="str">
        <x:f t="shared" si="4"/>
        <x:v>SD 1.1 x5NUK(C)</x:v>
      </x:c>
      <x:c r="E62" s="20" t="s">
        <x:v>58</x:v>
      </x:c>
      <x:c r="F62" s="18">
        <x:v>60623</x:v>
      </x:c>
      <x:c r="G62" s="18">
        <x:v>71001</x:v>
      </x:c>
      <x:c r="H62" s="21">
        <x:v>0.63055555555555554</x:v>
      </x:c>
      <x:c r="I62" s="20">
        <x:v>6</x:v>
      </x:c>
      <x:c r="J62" s="20">
        <x:v>12</x:v>
      </x:c>
      <x:c r="K62" s="10">
        <x:v>0</x:v>
      </x:c>
      <x:c r="L62" s="10">
        <x:v>0</x:v>
      </x:c>
      <x:c r="M62" s="10">
        <x:v>0</x:v>
      </x:c>
      <x:c r="N62" s="10">
        <x:f t="shared" si="5"/>
        <x:v>0</x:v>
      </x:c>
      <x:c r="O62" s="10">
        <x:v>0</x:v>
      </x:c>
      <x:c r="P62" s="10">
        <x:v>0</x:v>
      </x:c>
      <x:c r="Q62" s="20" t="s">
        <x:v>44</x:v>
      </x:c>
      <x:c r="R62"/>
    </x:row>
    <x:row r="63" s="16" customFormat="1">
      <x:c r="A63"/>
      <x:c r="B63" s="20"/>
      <x:c r="C63" s="18" t="s">
        <x:v>57</x:v>
      </x:c>
      <x:c r="D63" s="19" t="str">
        <x:f t="shared" si="4"/>
        <x:v>SD 1.1 x5NUK(C)</x:v>
      </x:c>
      <x:c r="E63" s="20" t="s">
        <x:v>58</x:v>
      </x:c>
      <x:c r="F63" s="18">
        <x:v>60623</x:v>
      </x:c>
      <x:c r="G63" s="18">
        <x:v>71001</x:v>
      </x:c>
      <x:c r="H63" s="21">
        <x:v>0.63055555555555554</x:v>
      </x:c>
      <x:c r="I63" s="20">
        <x:v>3</x:v>
      </x:c>
      <x:c r="J63" s="20">
        <x:v>13</x:v>
      </x:c>
      <x:c r="K63" s="10">
        <x:v>0</x:v>
      </x:c>
      <x:c r="L63" s="10">
        <x:v>0</x:v>
      </x:c>
      <x:c r="M63" s="10">
        <x:v>0</x:v>
      </x:c>
      <x:c r="N63" s="10">
        <x:f t="shared" si="5"/>
        <x:v>0</x:v>
      </x:c>
      <x:c r="O63" s="10">
        <x:v>0</x:v>
      </x:c>
      <x:c r="P63" s="10">
        <x:v>0</x:v>
      </x:c>
      <x:c r="Q63" s="20" t="s">
        <x:v>44</x:v>
      </x:c>
      <x:c r="R63"/>
    </x:row>
    <x:row r="64" s="16" customFormat="1">
      <x:c r="A64"/>
      <x:c r="B64" s="20"/>
      <x:c r="C64" s="18" t="s">
        <x:v>57</x:v>
      </x:c>
      <x:c r="D64" s="19" t="str">
        <x:f t="shared" si="4"/>
        <x:v>SD 1.1 x5NUK(C)</x:v>
      </x:c>
      <x:c r="E64" s="20" t="s">
        <x:v>58</x:v>
      </x:c>
      <x:c r="F64" s="18">
        <x:v>60623</x:v>
      </x:c>
      <x:c r="G64" s="18">
        <x:v>71001</x:v>
      </x:c>
      <x:c r="H64" s="21">
        <x:v>0.63055555555555554</x:v>
      </x:c>
      <x:c r="I64" s="20">
        <x:v>6</x:v>
      </x:c>
      <x:c r="J64" s="20">
        <x:v>14</x:v>
      </x:c>
      <x:c r="K64" s="10">
        <x:v>0</x:v>
      </x:c>
      <x:c r="L64" s="10">
        <x:v>0</x:v>
      </x:c>
      <x:c r="M64" s="10">
        <x:v>2</x:v>
      </x:c>
      <x:c r="N64" s="10">
        <x:f t="shared" si="5"/>
        <x:v>2</x:v>
      </x:c>
      <x:c r="O64" s="10">
        <x:v>0</x:v>
      </x:c>
      <x:c r="P64" s="10">
        <x:v>0</x:v>
      </x:c>
      <x:c r="Q64" s="20" t="s">
        <x:v>44</x:v>
      </x:c>
      <x:c r="R64"/>
    </x:row>
    <x:row r="65" s="16" customFormat="1">
      <x:c r="A65"/>
      <x:c r="B65" s="20"/>
      <x:c r="C65" s="18" t="s">
        <x:v>57</x:v>
      </x:c>
      <x:c r="D65" s="19" t="str">
        <x:f t="shared" si="4"/>
        <x:v>SD 1.1 x5NUK(C)</x:v>
      </x:c>
      <x:c r="E65" s="20" t="s">
        <x:v>58</x:v>
      </x:c>
      <x:c r="F65" s="18">
        <x:v>60623</x:v>
      </x:c>
      <x:c r="G65" s="18">
        <x:v>71001</x:v>
      </x:c>
      <x:c r="H65" s="21">
        <x:v>0.63055555555555554</x:v>
      </x:c>
      <x:c r="I65" s="20">
        <x:v>3</x:v>
      </x:c>
      <x:c r="J65" s="20">
        <x:v>15</x:v>
      </x:c>
      <x:c r="K65" s="10">
        <x:v>0</x:v>
      </x:c>
      <x:c r="L65" s="10">
        <x:v>0</x:v>
      </x:c>
      <x:c r="M65" s="10">
        <x:v>0</x:v>
      </x:c>
      <x:c r="N65" s="10">
        <x:f t="shared" si="5"/>
        <x:v>0</x:v>
      </x:c>
      <x:c r="O65" s="10">
        <x:v>0</x:v>
      </x:c>
      <x:c r="P65" s="10">
        <x:v>0</x:v>
      </x:c>
      <x:c r="Q65" s="20" t="s">
        <x:v>44</x:v>
      </x:c>
      <x:c r="R65"/>
    </x:row>
    <x:row r="66" s="16" customFormat="1">
      <x:c r="A66"/>
      <x:c r="F66" s="22"/>
      <x:c r="H66" s="23"/>
      <x:c r="I66" s="23"/>
      <x:c r="J66" s="23"/>
      <x:c r="K66" s="24"/>
      <x:c r="L66" s="24"/>
      <x:c r="M66" s="24"/>
      <x:c r="N66" s="24"/>
      <x:c r="O66" s="24"/>
      <x:c r="P66" s="24"/>
      <x:c r="R66"/>
    </x:row>
    <x:row r="67" s="16" customFormat="1">
      <x:c r="A67"/>
      <x:c r="F67" s="22"/>
      <x:c r="H67" s="23"/>
      <x:c r="I67" s="23"/>
      <x:c r="J67" s="23"/>
      <x:c r="K67" s="24"/>
      <x:c r="L67" s="24"/>
      <x:c r="M67" s="24"/>
      <x:c r="N67" s="24"/>
      <x:c r="O67" s="24"/>
      <x:c r="P67" s="24"/>
      <x:c r="R67"/>
    </x:row>
    <x:row r="68" s="16" customFormat="1">
      <x:c r="A68"/>
      <x:c r="B68" s="57" t="s">
        <x:v>20</x:v>
      </x:c>
      <x:c r="C68" s="57" t="s">
        <x:v>21</x:v>
      </x:c>
      <x:c r="D68" s="56" t="s">
        <x:v>22</x:v>
      </x:c>
      <x:c r="E68" s="9" t="s">
        <x:v>23</x:v>
      </x:c>
      <x:c r="F68" s="14" t="s">
        <x:v>24</x:v>
      </x:c>
      <x:c r="G68" s="9" t="s">
        <x:v>24</x:v>
      </x:c>
      <x:c r="H68" s="58" t="s">
        <x:v>25</x:v>
      </x:c>
      <x:c r="I68" s="15"/>
      <x:c r="J68" s="15"/>
      <x:c r="K68" s="59" t="s">
        <x:v>26</x:v>
      </x:c>
      <x:c r="L68" s="59"/>
      <x:c r="M68" s="59"/>
      <x:c r="N68" s="59"/>
      <x:c r="O68" s="59"/>
      <x:c r="P68" s="59"/>
      <x:c r="Q68" s="56" t="s">
        <x:v>27</x:v>
      </x:c>
      <x:c r="R68"/>
    </x:row>
    <x:row r="69" s="16" customFormat="1" ht="28.799999237060547">
      <x:c r="A69"/>
      <x:c r="B69" s="56"/>
      <x:c r="C69" s="56"/>
      <x:c r="D69" s="56"/>
      <x:c r="E69" s="7" t="s">
        <x:v>28</x:v>
      </x:c>
      <x:c r="F69" s="8" t="s">
        <x:v>29</x:v>
      </x:c>
      <x:c r="G69" s="8" t="s">
        <x:v>30</x:v>
      </x:c>
      <x:c r="H69" s="58"/>
      <x:c r="I69" s="15" t="s">
        <x:v>31</x:v>
      </x:c>
      <x:c r="J69" s="15" t="s">
        <x:v>32</x:v>
      </x:c>
      <x:c r="K69" s="17" t="s">
        <x:v>33</x:v>
      </x:c>
      <x:c r="L69" s="17" t="s">
        <x:v>34</x:v>
      </x:c>
      <x:c r="M69" s="17" t="s">
        <x:v>35</x:v>
      </x:c>
      <x:c r="N69" s="17" t="s">
        <x:v>36</x:v>
      </x:c>
      <x:c r="O69" s="17" t="s">
        <x:v>10</x:v>
      </x:c>
      <x:c r="P69" s="17" t="s">
        <x:v>37</x:v>
      </x:c>
      <x:c r="Q69" s="56"/>
      <x:c r="R69"/>
    </x:row>
    <x:row r="70" s="16" customFormat="1">
      <x:c r="A70"/>
      <x:c r="B70" s="18" t="s">
        <x:v>38</x:v>
      </x:c>
      <x:c r="C70" s="18" t="s">
        <x:v>57</x:v>
      </x:c>
      <x:c r="D70" s="19" t="str">
        <x:f t="shared" ref="D70:D84" si="6">$B$1</x:f>
        <x:v>SD 1.1 x5NUK(C)</x:v>
      </x:c>
      <x:c r="E70" s="20" t="s">
        <x:v>58</x:v>
      </x:c>
      <x:c r="F70" s="18">
        <x:v>60622</x:v>
      </x:c>
      <x:c r="G70" s="18">
        <x:v>71001</x:v>
      </x:c>
      <x:c r="H70" s="21">
        <x:v>0.63055555555555554</x:v>
      </x:c>
      <x:c r="I70" s="20">
        <x:v>3</x:v>
      </x:c>
      <x:c r="J70" s="20">
        <x:v>1</x:v>
      </x:c>
      <x:c r="K70" s="10">
        <x:v>0</x:v>
      </x:c>
      <x:c r="L70" s="10">
        <x:v>0</x:v>
      </x:c>
      <x:c r="M70" s="10">
        <x:v>0</x:v>
      </x:c>
      <x:c r="N70" s="10" t="n">
        <x:f>L70+M70</x:f>
        <x:v>0</x:v>
      </x:c>
      <x:c r="O70" s="10">
        <x:v>0</x:v>
      </x:c>
      <x:c r="P70" s="10">
        <x:v>0</x:v>
      </x:c>
      <x:c r="Q70" s="20" t="s">
        <x:v>45</x:v>
      </x:c>
      <x:c r="R70"/>
    </x:row>
    <x:row r="71" s="16" customFormat="1">
      <x:c r="A71"/>
      <x:c r="B71" s="18"/>
      <x:c r="C71" s="18" t="s">
        <x:v>57</x:v>
      </x:c>
      <x:c r="D71" s="19" t="str">
        <x:f t="shared" si="6"/>
        <x:v>SD 1.1 x5NUK(C)</x:v>
      </x:c>
      <x:c r="E71" s="20" t="s">
        <x:v>58</x:v>
      </x:c>
      <x:c r="F71" s="18">
        <x:v>60622</x:v>
      </x:c>
      <x:c r="G71" s="18">
        <x:v>71001</x:v>
      </x:c>
      <x:c r="H71" s="21">
        <x:v>0.63055555555555554</x:v>
      </x:c>
      <x:c r="I71" s="20">
        <x:v>6</x:v>
      </x:c>
      <x:c r="J71" s="20">
        <x:v>2</x:v>
      </x:c>
      <x:c r="K71" s="10">
        <x:v>0</x:v>
      </x:c>
      <x:c r="L71" s="10">
        <x:v>0</x:v>
      </x:c>
      <x:c r="M71" s="10">
        <x:v>0</x:v>
      </x:c>
      <x:c r="N71" s="10" t="n">
        <x:f>L71+M71</x:f>
        <x:v>0</x:v>
      </x:c>
      <x:c r="O71" s="10">
        <x:v>0</x:v>
      </x:c>
      <x:c r="P71" s="10">
        <x:v>0</x:v>
      </x:c>
      <x:c r="Q71" s="20" t="s">
        <x:v>45</x:v>
      </x:c>
      <x:c r="R71"/>
    </x:row>
    <x:row r="72" s="16" customFormat="1">
      <x:c r="A72"/>
      <x:c r="B72" s="18"/>
      <x:c r="C72" s="18" t="s">
        <x:v>57</x:v>
      </x:c>
      <x:c r="D72" s="19" t="str">
        <x:f t="shared" si="6"/>
        <x:v>SD 1.1 x5NUK(C)</x:v>
      </x:c>
      <x:c r="E72" s="20" t="s">
        <x:v>58</x:v>
      </x:c>
      <x:c r="F72" s="18">
        <x:v>60622</x:v>
      </x:c>
      <x:c r="G72" s="18">
        <x:v>71001</x:v>
      </x:c>
      <x:c r="H72" s="21">
        <x:v>0.63055555555555554</x:v>
      </x:c>
      <x:c r="I72" s="20">
        <x:v>3</x:v>
      </x:c>
      <x:c r="J72" s="20">
        <x:v>3</x:v>
      </x:c>
      <x:c r="K72" s="10">
        <x:v>0</x:v>
      </x:c>
      <x:c r="L72" s="10">
        <x:v>0</x:v>
      </x:c>
      <x:c r="M72" s="10">
        <x:v>0</x:v>
      </x:c>
      <x:c r="N72" s="10" t="n">
        <x:f t="shared" ref="N72:N84" si="7">L72+M72</x:f>
        <x:v>0</x:v>
      </x:c>
      <x:c r="O72" s="10">
        <x:v>0</x:v>
      </x:c>
      <x:c r="P72" s="10">
        <x:v>0</x:v>
      </x:c>
      <x:c r="Q72" s="20" t="s">
        <x:v>45</x:v>
      </x:c>
      <x:c r="R72"/>
    </x:row>
    <x:row r="73" s="16" customFormat="1">
      <x:c r="A73"/>
      <x:c r="B73" s="20"/>
      <x:c r="C73" s="18" t="s">
        <x:v>57</x:v>
      </x:c>
      <x:c r="D73" s="19" t="str">
        <x:f t="shared" si="6"/>
        <x:v>SD 1.1 x5NUK(C)</x:v>
      </x:c>
      <x:c r="E73" s="20" t="s">
        <x:v>58</x:v>
      </x:c>
      <x:c r="F73" s="18">
        <x:v>60622</x:v>
      </x:c>
      <x:c r="G73" s="18">
        <x:v>71001</x:v>
      </x:c>
      <x:c r="H73" s="21">
        <x:v>0.63055555555555554</x:v>
      </x:c>
      <x:c r="I73" s="20">
        <x:v>6</x:v>
      </x:c>
      <x:c r="J73" s="20">
        <x:v>4</x:v>
      </x:c>
      <x:c r="K73" s="10">
        <x:v>0</x:v>
      </x:c>
      <x:c r="L73" s="10">
        <x:v>0</x:v>
      </x:c>
      <x:c r="M73" s="10">
        <x:v>0</x:v>
      </x:c>
      <x:c r="N73" s="10">
        <x:f t="shared" si="7"/>
        <x:v>0</x:v>
      </x:c>
      <x:c r="O73" s="10">
        <x:v>0</x:v>
      </x:c>
      <x:c r="P73" s="10">
        <x:v>0</x:v>
      </x:c>
      <x:c r="Q73" s="20" t="s">
        <x:v>45</x:v>
      </x:c>
      <x:c r="R73"/>
    </x:row>
    <x:row r="74" s="16" customFormat="1">
      <x:c r="A74"/>
      <x:c r="B74" s="20"/>
      <x:c r="C74" s="18" t="s">
        <x:v>57</x:v>
      </x:c>
      <x:c r="D74" s="19" t="str">
        <x:f t="shared" si="6"/>
        <x:v>SD 1.1 x5NUK(C)</x:v>
      </x:c>
      <x:c r="E74" s="20" t="s">
        <x:v>58</x:v>
      </x:c>
      <x:c r="F74" s="18">
        <x:v>60622</x:v>
      </x:c>
      <x:c r="G74" s="18">
        <x:v>71001</x:v>
      </x:c>
      <x:c r="H74" s="21">
        <x:v>0.63055555555555554</x:v>
      </x:c>
      <x:c r="I74" s="20">
        <x:v>3</x:v>
      </x:c>
      <x:c r="J74" s="20">
        <x:v>5</x:v>
      </x:c>
      <x:c r="K74" s="10">
        <x:v>0</x:v>
      </x:c>
      <x:c r="L74" s="10">
        <x:v>0</x:v>
      </x:c>
      <x:c r="M74" s="10">
        <x:v>0</x:v>
      </x:c>
      <x:c r="N74" s="10">
        <x:f t="shared" si="7"/>
        <x:v>0</x:v>
      </x:c>
      <x:c r="O74" s="10">
        <x:v>0</x:v>
      </x:c>
      <x:c r="P74" s="10">
        <x:v>0</x:v>
      </x:c>
      <x:c r="Q74" s="20" t="s">
        <x:v>45</x:v>
      </x:c>
      <x:c r="R74"/>
    </x:row>
    <x:row r="75" s="16" customFormat="1">
      <x:c r="A75"/>
      <x:c r="B75" s="20"/>
      <x:c r="C75" s="18" t="s">
        <x:v>57</x:v>
      </x:c>
      <x:c r="D75" s="19" t="str">
        <x:f t="shared" si="6"/>
        <x:v>SD 1.1 x5NUK(C)</x:v>
      </x:c>
      <x:c r="E75" s="20" t="s">
        <x:v>58</x:v>
      </x:c>
      <x:c r="F75" s="18">
        <x:v>60622</x:v>
      </x:c>
      <x:c r="G75" s="18">
        <x:v>71001</x:v>
      </x:c>
      <x:c r="H75" s="21">
        <x:v>0.63055555555555554</x:v>
      </x:c>
      <x:c r="I75" s="20">
        <x:v>6</x:v>
      </x:c>
      <x:c r="J75" s="20">
        <x:v>6</x:v>
      </x:c>
      <x:c r="K75" s="10">
        <x:v>0</x:v>
      </x:c>
      <x:c r="L75" s="10">
        <x:v>0</x:v>
      </x:c>
      <x:c r="M75" s="10">
        <x:v>0</x:v>
      </x:c>
      <x:c r="N75" s="10">
        <x:f t="shared" si="7"/>
        <x:v>0</x:v>
      </x:c>
      <x:c r="O75" s="10">
        <x:v>0</x:v>
      </x:c>
      <x:c r="P75" s="10">
        <x:v>0</x:v>
      </x:c>
      <x:c r="Q75" s="20" t="s">
        <x:v>45</x:v>
      </x:c>
      <x:c r="R75"/>
    </x:row>
    <x:row r="76" s="16" customFormat="1">
      <x:c r="A76"/>
      <x:c r="B76" s="18"/>
      <x:c r="C76" s="18" t="s">
        <x:v>57</x:v>
      </x:c>
      <x:c r="D76" s="19" t="str">
        <x:f t="shared" si="6"/>
        <x:v>SD 1.1 x5NUK(C)</x:v>
      </x:c>
      <x:c r="E76" s="20" t="s">
        <x:v>58</x:v>
      </x:c>
      <x:c r="F76" s="18">
        <x:v>60622</x:v>
      </x:c>
      <x:c r="G76" s="18">
        <x:v>71001</x:v>
      </x:c>
      <x:c r="H76" s="21">
        <x:v>0.63055555555555554</x:v>
      </x:c>
      <x:c r="I76" s="20">
        <x:v>3</x:v>
      </x:c>
      <x:c r="J76" s="20">
        <x:v>7</x:v>
      </x:c>
      <x:c r="K76" s="10">
        <x:v>0</x:v>
      </x:c>
      <x:c r="L76" s="10">
        <x:v>0</x:v>
      </x:c>
      <x:c r="M76" s="10">
        <x:v>0</x:v>
      </x:c>
      <x:c r="N76" s="10">
        <x:f t="shared" si="7"/>
        <x:v>0</x:v>
      </x:c>
      <x:c r="O76" s="10">
        <x:v>0</x:v>
      </x:c>
      <x:c r="P76" s="10">
        <x:v>0</x:v>
      </x:c>
      <x:c r="Q76" s="20" t="s">
        <x:v>45</x:v>
      </x:c>
      <x:c r="R76"/>
    </x:row>
    <x:row r="77" s="16" customFormat="1">
      <x:c r="A77"/>
      <x:c r="B77" s="18"/>
      <x:c r="C77" s="18" t="s">
        <x:v>57</x:v>
      </x:c>
      <x:c r="D77" s="19" t="str">
        <x:f t="shared" si="6"/>
        <x:v>SD 1.1 x5NUK(C)</x:v>
      </x:c>
      <x:c r="E77" s="20" t="s">
        <x:v>58</x:v>
      </x:c>
      <x:c r="F77" s="18">
        <x:v>60622</x:v>
      </x:c>
      <x:c r="G77" s="18">
        <x:v>71001</x:v>
      </x:c>
      <x:c r="H77" s="21">
        <x:v>0.63055555555555554</x:v>
      </x:c>
      <x:c r="I77" s="20">
        <x:v>6</x:v>
      </x:c>
      <x:c r="J77" s="20">
        <x:v>8</x:v>
      </x:c>
      <x:c r="K77" s="10">
        <x:v>0</x:v>
      </x:c>
      <x:c r="L77" s="10">
        <x:v>0</x:v>
      </x:c>
      <x:c r="M77" s="10">
        <x:v>0</x:v>
      </x:c>
      <x:c r="N77" s="10">
        <x:f t="shared" si="7"/>
        <x:v>0</x:v>
      </x:c>
      <x:c r="O77" s="10">
        <x:v>0</x:v>
      </x:c>
      <x:c r="P77" s="10">
        <x:v>0</x:v>
      </x:c>
      <x:c r="Q77" s="20" t="s">
        <x:v>45</x:v>
      </x:c>
      <x:c r="R77"/>
    </x:row>
    <x:row r="78" s="16" customFormat="1">
      <x:c r="A78"/>
      <x:c r="B78" s="18"/>
      <x:c r="C78" s="18" t="s">
        <x:v>57</x:v>
      </x:c>
      <x:c r="D78" s="19" t="str">
        <x:f t="shared" si="6"/>
        <x:v>SD 1.1 x5NUK(C)</x:v>
      </x:c>
      <x:c r="E78" s="20" t="s">
        <x:v>58</x:v>
      </x:c>
      <x:c r="F78" s="18">
        <x:v>60622</x:v>
      </x:c>
      <x:c r="G78" s="18">
        <x:v>71001</x:v>
      </x:c>
      <x:c r="H78" s="21">
        <x:v>0.63055555555555554</x:v>
      </x:c>
      <x:c r="I78" s="20">
        <x:v>3</x:v>
      </x:c>
      <x:c r="J78" s="20">
        <x:v>9</x:v>
      </x:c>
      <x:c r="K78" s="10">
        <x:v>0</x:v>
      </x:c>
      <x:c r="L78" s="10">
        <x:v>0</x:v>
      </x:c>
      <x:c r="M78" s="10">
        <x:v>0</x:v>
      </x:c>
      <x:c r="N78" s="10">
        <x:f t="shared" si="7"/>
        <x:v>0</x:v>
      </x:c>
      <x:c r="O78" s="10">
        <x:v>0</x:v>
      </x:c>
      <x:c r="P78" s="10">
        <x:v>0</x:v>
      </x:c>
      <x:c r="Q78" s="20" t="s">
        <x:v>45</x:v>
      </x:c>
      <x:c r="R78"/>
    </x:row>
    <x:row r="79" s="16" customFormat="1">
      <x:c r="A79"/>
      <x:c r="B79" s="20"/>
      <x:c r="C79" s="18" t="s">
        <x:v>57</x:v>
      </x:c>
      <x:c r="D79" s="19" t="str">
        <x:f t="shared" si="6"/>
        <x:v>SD 1.1 x5NUK(C)</x:v>
      </x:c>
      <x:c r="E79" s="20" t="s">
        <x:v>58</x:v>
      </x:c>
      <x:c r="F79" s="18">
        <x:v>60622</x:v>
      </x:c>
      <x:c r="G79" s="18">
        <x:v>71001</x:v>
      </x:c>
      <x:c r="H79" s="21">
        <x:v>0.63055555555555554</x:v>
      </x:c>
      <x:c r="I79" s="20">
        <x:v>6</x:v>
      </x:c>
      <x:c r="J79" s="20">
        <x:v>10</x:v>
      </x:c>
      <x:c r="K79" s="10">
        <x:v>0</x:v>
      </x:c>
      <x:c r="L79" s="10">
        <x:v>0</x:v>
      </x:c>
      <x:c r="M79" s="10">
        <x:v>0</x:v>
      </x:c>
      <x:c r="N79" s="10">
        <x:f t="shared" si="7"/>
        <x:v>0</x:v>
      </x:c>
      <x:c r="O79" s="10">
        <x:v>0</x:v>
      </x:c>
      <x:c r="P79" s="10">
        <x:v>0</x:v>
      </x:c>
      <x:c r="Q79" s="20" t="s">
        <x:v>45</x:v>
      </x:c>
      <x:c r="R79"/>
    </x:row>
    <x:row r="80" s="16" customFormat="1">
      <x:c r="A80"/>
      <x:c r="B80" s="20"/>
      <x:c r="C80" s="18" t="s">
        <x:v>57</x:v>
      </x:c>
      <x:c r="D80" s="19" t="str">
        <x:f t="shared" si="6"/>
        <x:v>SD 1.1 x5NUK(C)</x:v>
      </x:c>
      <x:c r="E80" s="20" t="s">
        <x:v>58</x:v>
      </x:c>
      <x:c r="F80" s="18">
        <x:v>60622</x:v>
      </x:c>
      <x:c r="G80" s="18">
        <x:v>71001</x:v>
      </x:c>
      <x:c r="H80" s="21">
        <x:v>0.63055555555555554</x:v>
      </x:c>
      <x:c r="I80" s="20">
        <x:v>3</x:v>
      </x:c>
      <x:c r="J80" s="20">
        <x:v>11</x:v>
      </x:c>
      <x:c r="K80" s="10">
        <x:v>0</x:v>
      </x:c>
      <x:c r="L80" s="10">
        <x:v>0</x:v>
      </x:c>
      <x:c r="M80" s="10">
        <x:v>0</x:v>
      </x:c>
      <x:c r="N80" s="10">
        <x:f t="shared" si="7"/>
        <x:v>0</x:v>
      </x:c>
      <x:c r="O80" s="10">
        <x:v>0</x:v>
      </x:c>
      <x:c r="P80" s="10">
        <x:v>0</x:v>
      </x:c>
      <x:c r="Q80" s="20" t="s">
        <x:v>45</x:v>
      </x:c>
      <x:c r="R80"/>
    </x:row>
    <x:row r="81" s="16" customFormat="1">
      <x:c r="A81"/>
      <x:c r="B81" s="20"/>
      <x:c r="C81" s="18" t="s">
        <x:v>57</x:v>
      </x:c>
      <x:c r="D81" s="19" t="str">
        <x:f t="shared" si="6"/>
        <x:v>SD 1.1 x5NUK(C)</x:v>
      </x:c>
      <x:c r="E81" s="20" t="s">
        <x:v>58</x:v>
      </x:c>
      <x:c r="F81" s="18">
        <x:v>60622</x:v>
      </x:c>
      <x:c r="G81" s="18">
        <x:v>71001</x:v>
      </x:c>
      <x:c r="H81" s="21">
        <x:v>0.63055555555555554</x:v>
      </x:c>
      <x:c r="I81" s="20">
        <x:v>6</x:v>
      </x:c>
      <x:c r="J81" s="20">
        <x:v>12</x:v>
      </x:c>
      <x:c r="K81" s="10">
        <x:v>0</x:v>
      </x:c>
      <x:c r="L81" s="10">
        <x:v>0</x:v>
      </x:c>
      <x:c r="M81" s="10">
        <x:v>0</x:v>
      </x:c>
      <x:c r="N81" s="10">
        <x:f t="shared" si="7"/>
        <x:v>0</x:v>
      </x:c>
      <x:c r="O81" s="10">
        <x:v>0</x:v>
      </x:c>
      <x:c r="P81" s="10">
        <x:v>0</x:v>
      </x:c>
      <x:c r="Q81" s="20" t="s">
        <x:v>45</x:v>
      </x:c>
      <x:c r="R81"/>
    </x:row>
    <x:row r="82" s="16" customFormat="1">
      <x:c r="A82"/>
      <x:c r="B82" s="20"/>
      <x:c r="C82" s="18" t="s">
        <x:v>57</x:v>
      </x:c>
      <x:c r="D82" s="19" t="str">
        <x:f t="shared" si="6"/>
        <x:v>SD 1.1 x5NUK(C)</x:v>
      </x:c>
      <x:c r="E82" s="20" t="s">
        <x:v>58</x:v>
      </x:c>
      <x:c r="F82" s="18">
        <x:v>60622</x:v>
      </x:c>
      <x:c r="G82" s="18">
        <x:v>71001</x:v>
      </x:c>
      <x:c r="H82" s="21">
        <x:v>0.63055555555555554</x:v>
      </x:c>
      <x:c r="I82" s="20">
        <x:v>3</x:v>
      </x:c>
      <x:c r="J82" s="20">
        <x:v>13</x:v>
      </x:c>
      <x:c r="K82" s="10">
        <x:v>0</x:v>
      </x:c>
      <x:c r="L82" s="10">
        <x:v>0</x:v>
      </x:c>
      <x:c r="M82" s="10">
        <x:v>0</x:v>
      </x:c>
      <x:c r="N82" s="10">
        <x:f t="shared" si="7"/>
        <x:v>0</x:v>
      </x:c>
      <x:c r="O82" s="10">
        <x:v>0</x:v>
      </x:c>
      <x:c r="P82" s="10">
        <x:v>0</x:v>
      </x:c>
      <x:c r="Q82" s="20" t="s">
        <x:v>45</x:v>
      </x:c>
      <x:c r="R82"/>
    </x:row>
    <x:row r="83" s="16" customFormat="1">
      <x:c r="A83"/>
      <x:c r="B83" s="20"/>
      <x:c r="C83" s="18" t="s">
        <x:v>57</x:v>
      </x:c>
      <x:c r="D83" s="19" t="str">
        <x:f t="shared" si="6"/>
        <x:v>SD 1.1 x5NUK(C)</x:v>
      </x:c>
      <x:c r="E83" s="20" t="s">
        <x:v>58</x:v>
      </x:c>
      <x:c r="F83" s="18">
        <x:v>60622</x:v>
      </x:c>
      <x:c r="G83" s="18">
        <x:v>71001</x:v>
      </x:c>
      <x:c r="H83" s="21">
        <x:v>0.63055555555555554</x:v>
      </x:c>
      <x:c r="I83" s="20">
        <x:v>6</x:v>
      </x:c>
      <x:c r="J83" s="20">
        <x:v>14</x:v>
      </x:c>
      <x:c r="K83" s="10">
        <x:v>0</x:v>
      </x:c>
      <x:c r="L83" s="10">
        <x:v>0</x:v>
      </x:c>
      <x:c r="M83" s="10">
        <x:v>0</x:v>
      </x:c>
      <x:c r="N83" s="10">
        <x:f t="shared" si="7"/>
        <x:v>0</x:v>
      </x:c>
      <x:c r="O83" s="10">
        <x:v>0</x:v>
      </x:c>
      <x:c r="P83" s="10">
        <x:v>0</x:v>
      </x:c>
      <x:c r="Q83" s="20" t="s">
        <x:v>45</x:v>
      </x:c>
      <x:c r="R83"/>
    </x:row>
    <x:row r="84" s="16" customFormat="1">
      <x:c r="A84"/>
      <x:c r="B84" s="20"/>
      <x:c r="C84" s="18" t="s">
        <x:v>57</x:v>
      </x:c>
      <x:c r="D84" s="19" t="str">
        <x:f t="shared" si="6"/>
        <x:v>SD 1.1 x5NUK(C)</x:v>
      </x:c>
      <x:c r="E84" s="20" t="s">
        <x:v>58</x:v>
      </x:c>
      <x:c r="F84" s="18">
        <x:v>60622</x:v>
      </x:c>
      <x:c r="G84" s="18">
        <x:v>71001</x:v>
      </x:c>
      <x:c r="H84" s="21">
        <x:v>0.63055555555555554</x:v>
      </x:c>
      <x:c r="I84" s="20">
        <x:v>3</x:v>
      </x:c>
      <x:c r="J84" s="20">
        <x:v>15</x:v>
      </x:c>
      <x:c r="K84" s="10">
        <x:v>0</x:v>
      </x:c>
      <x:c r="L84" s="10">
        <x:v>0</x:v>
      </x:c>
      <x:c r="M84" s="10">
        <x:v>2</x:v>
      </x:c>
      <x:c r="N84" s="10">
        <x:f t="shared" si="7"/>
        <x:v>2</x:v>
      </x:c>
      <x:c r="O84" s="10">
        <x:v>0</x:v>
      </x:c>
      <x:c r="P84" s="10">
        <x:v>0</x:v>
      </x:c>
      <x:c r="Q84" s="20" t="s">
        <x:v>45</x:v>
      </x:c>
      <x:c r="R84"/>
    </x:row>
    <x:row r="85" s="16" customFormat="1">
      <x:c r="A85"/>
      <x:c r="F85" s="22"/>
      <x:c r="H85" s="23"/>
      <x:c r="I85" s="23"/>
      <x:c r="J85" s="23"/>
      <x:c r="K85" s="24"/>
      <x:c r="L85" s="24"/>
      <x:c r="M85" s="24"/>
      <x:c r="N85" s="24"/>
      <x:c r="O85" s="24"/>
      <x:c r="P85" s="24"/>
      <x:c r="R85"/>
    </x:row>
    <x:row r="86" s="16" customFormat="1">
      <x:c r="A86"/>
      <x:c r="F86" s="22"/>
      <x:c r="H86" s="23"/>
      <x:c r="I86" s="23"/>
      <x:c r="J86" s="23"/>
      <x:c r="K86" s="24"/>
      <x:c r="L86" s="24"/>
      <x:c r="M86" s="24"/>
      <x:c r="N86" s="24"/>
      <x:c r="O86" s="24"/>
      <x:c r="P86" s="24"/>
      <x:c r="R86"/>
    </x:row>
    <x:row r="87" s="16" customFormat="1">
      <x:c r="A87"/>
      <x:c r="F87" s="22"/>
      <x:c r="H87" s="23"/>
      <x:c r="I87" s="23"/>
      <x:c r="J87" s="23"/>
      <x:c r="K87" s="24"/>
      <x:c r="L87" s="24"/>
      <x:c r="M87" s="24"/>
      <x:c r="N87" s="24"/>
      <x:c r="O87" s="24"/>
      <x:c r="P87" s="24"/>
      <x:c r="R87"/>
    </x:row>
    <x:row r="88" s="16" customFormat="1">
      <x:c r="A88"/>
      <x:c r="F88" s="22"/>
      <x:c r="H88" s="23"/>
      <x:c r="I88" s="23"/>
      <x:c r="J88" s="23"/>
      <x:c r="K88" s="24"/>
      <x:c r="L88" s="24"/>
      <x:c r="M88" s="24"/>
      <x:c r="N88" s="24"/>
      <x:c r="O88" s="24"/>
      <x:c r="P88" s="24"/>
      <x:c r="R88"/>
    </x:row>
    <x:row r="89" s="16" customFormat="1">
      <x:c r="A89"/>
      <x:c r="F89" s="22"/>
      <x:c r="H89" s="23"/>
      <x:c r="I89" s="23"/>
      <x:c r="J89" s="23"/>
      <x:c r="K89" s="24"/>
      <x:c r="L89" s="24"/>
      <x:c r="M89" s="24"/>
      <x:c r="N89" s="24"/>
      <x:c r="O89" s="24"/>
      <x:c r="P89" s="24"/>
      <x:c r="R89"/>
    </x:row>
    <x:row r="90" s="16" customFormat="1">
      <x:c r="A90"/>
      <x:c r="F90" s="22"/>
      <x:c r="H90" s="23"/>
      <x:c r="I90" s="23"/>
      <x:c r="J90" s="23"/>
      <x:c r="K90" s="24"/>
      <x:c r="L90" s="24"/>
      <x:c r="M90" s="24"/>
      <x:c r="N90" s="24"/>
      <x:c r="O90" s="24"/>
      <x:c r="P90" s="24"/>
      <x:c r="R90"/>
    </x:row>
    <x:row r="91" s="16" customFormat="1">
      <x:c r="A91"/>
      <x:c r="F91" s="22"/>
      <x:c r="H91" s="23"/>
      <x:c r="I91" s="23"/>
      <x:c r="J91" s="23"/>
      <x:c r="K91" s="24"/>
      <x:c r="L91" s="24"/>
      <x:c r="M91" s="24"/>
      <x:c r="N91" s="24"/>
      <x:c r="O91" s="24"/>
      <x:c r="P91" s="24"/>
      <x:c r="R91"/>
    </x:row>
    <x:row r="92" s="16" customFormat="1">
      <x:c r="A92"/>
      <x:c r="F92" s="22"/>
      <x:c r="H92" s="23"/>
      <x:c r="I92" s="23"/>
      <x:c r="J92" s="23"/>
      <x:c r="K92" s="24"/>
      <x:c r="L92" s="24"/>
      <x:c r="M92" s="24"/>
      <x:c r="N92" s="24"/>
      <x:c r="O92" s="24"/>
      <x:c r="P92" s="24"/>
      <x:c r="R92"/>
    </x:row>
    <x:row r="93" s="16" customFormat="1">
      <x:c r="A93"/>
      <x:c r="F93" s="22"/>
      <x:c r="H93" s="23"/>
      <x:c r="I93" s="23"/>
      <x:c r="J93" s="23"/>
      <x:c r="K93" s="24"/>
      <x:c r="L93" s="24"/>
      <x:c r="M93" s="24"/>
      <x:c r="N93" s="24"/>
      <x:c r="O93" s="24"/>
      <x:c r="P93" s="24"/>
      <x:c r="R93"/>
    </x:row>
    <x:row r="94" s="16" customFormat="1">
      <x:c r="A94"/>
      <x:c r="F94" s="22"/>
      <x:c r="H94" s="23"/>
      <x:c r="I94" s="23"/>
      <x:c r="J94" s="23"/>
      <x:c r="K94" s="24"/>
      <x:c r="L94" s="24"/>
      <x:c r="M94" s="24"/>
      <x:c r="N94" s="24"/>
      <x:c r="O94" s="24"/>
      <x:c r="P94" s="24"/>
      <x:c r="R94"/>
    </x:row>
    <x:row r="95" s="16" customFormat="1">
      <x:c r="A95"/>
      <x:c r="F95" s="22"/>
      <x:c r="H95" s="23"/>
      <x:c r="I95" s="23"/>
      <x:c r="J95" s="23"/>
      <x:c r="K95" s="24"/>
      <x:c r="L95" s="24"/>
      <x:c r="M95" s="24"/>
      <x:c r="N95" s="24"/>
      <x:c r="O95" s="24"/>
      <x:c r="P95" s="24"/>
      <x:c r="R95"/>
    </x:row>
    <x:row r="96" s="16" customFormat="1">
      <x:c r="A96"/>
      <x:c r="F96" s="22"/>
      <x:c r="H96" s="23"/>
      <x:c r="I96" s="23"/>
      <x:c r="J96" s="23"/>
      <x:c r="K96" s="24"/>
      <x:c r="L96" s="24"/>
      <x:c r="M96" s="24"/>
      <x:c r="N96" s="24"/>
      <x:c r="O96" s="24"/>
      <x:c r="P96" s="24"/>
      <x:c r="R96"/>
    </x:row>
    <x:row r="97" s="16" customFormat="1">
      <x:c r="A97"/>
      <x:c r="F97" s="22"/>
      <x:c r="H97" s="23"/>
      <x:c r="I97" s="23"/>
      <x:c r="J97" s="23"/>
      <x:c r="K97" s="24"/>
      <x:c r="L97" s="24"/>
      <x:c r="M97" s="24"/>
      <x:c r="N97" s="24"/>
      <x:c r="O97" s="24"/>
      <x:c r="P97" s="24"/>
      <x:c r="R97"/>
    </x:row>
    <x:row r="98" s="16" customFormat="1">
      <x:c r="A98"/>
      <x:c r="F98" s="22"/>
      <x:c r="H98" s="23"/>
      <x:c r="I98" s="23"/>
      <x:c r="J98" s="23"/>
      <x:c r="K98" s="24"/>
      <x:c r="L98" s="24"/>
      <x:c r="M98" s="24"/>
      <x:c r="N98" s="24"/>
      <x:c r="O98" s="24"/>
      <x:c r="P98" s="24"/>
      <x:c r="R98"/>
    </x:row>
    <x:row r="99" s="16" customFormat="1">
      <x:c r="A99"/>
      <x:c r="F99" s="22"/>
      <x:c r="H99" s="23"/>
      <x:c r="I99" s="23"/>
      <x:c r="J99" s="23"/>
      <x:c r="K99" s="24"/>
      <x:c r="L99" s="24"/>
      <x:c r="M99" s="24"/>
      <x:c r="N99" s="24"/>
      <x:c r="O99" s="24"/>
      <x:c r="P99" s="24"/>
      <x:c r="R99"/>
    </x:row>
    <x:row r="100" s="16" customFormat="1">
      <x:c r="A100"/>
      <x:c r="F100" s="22"/>
      <x:c r="H100" s="23"/>
      <x:c r="I100" s="23"/>
      <x:c r="J100" s="23"/>
      <x:c r="K100" s="24"/>
      <x:c r="L100" s="24"/>
      <x:c r="M100" s="24"/>
      <x:c r="N100" s="24"/>
      <x:c r="O100" s="24"/>
      <x:c r="P100" s="24"/>
      <x:c r="R100"/>
    </x:row>
    <x:row r="101" s="16" customFormat="1">
      <x:c r="A101"/>
      <x:c r="F101" s="22"/>
      <x:c r="H101" s="23"/>
      <x:c r="I101" s="23"/>
      <x:c r="J101" s="23"/>
      <x:c r="K101" s="24"/>
      <x:c r="L101" s="24"/>
      <x:c r="M101" s="24"/>
      <x:c r="N101" s="24"/>
      <x:c r="O101" s="24"/>
      <x:c r="P101" s="24"/>
      <x:c r="R101"/>
    </x:row>
    <x:row r="102" s="16" customFormat="1">
      <x:c r="A102"/>
      <x:c r="F102" s="22"/>
      <x:c r="H102" s="23"/>
      <x:c r="I102" s="23"/>
      <x:c r="J102" s="23"/>
      <x:c r="K102" s="24"/>
      <x:c r="L102" s="24"/>
      <x:c r="M102" s="24"/>
      <x:c r="N102" s="24"/>
      <x:c r="O102" s="24"/>
      <x:c r="P102" s="24"/>
      <x:c r="R102"/>
    </x:row>
    <x:row r="103" s="16" customFormat="1">
      <x:c r="A103"/>
      <x:c r="F103" s="22"/>
      <x:c r="H103" s="23"/>
      <x:c r="I103" s="23"/>
      <x:c r="J103" s="23"/>
      <x:c r="K103" s="24"/>
      <x:c r="L103" s="24"/>
      <x:c r="M103" s="24"/>
      <x:c r="N103" s="24"/>
      <x:c r="O103" s="24"/>
      <x:c r="P103" s="24"/>
      <x:c r="R103"/>
    </x:row>
    <x:row r="104" s="16" customFormat="1">
      <x:c r="A104"/>
      <x:c r="F104" s="22"/>
      <x:c r="H104" s="23"/>
      <x:c r="I104" s="23"/>
      <x:c r="J104" s="23"/>
      <x:c r="K104" s="24"/>
      <x:c r="L104" s="24"/>
      <x:c r="M104" s="24"/>
      <x:c r="N104" s="24"/>
      <x:c r="O104" s="24"/>
      <x:c r="P104" s="24"/>
      <x:c r="R104"/>
    </x:row>
    <x:row r="105" s="16" customFormat="1">
      <x:c r="A105"/>
      <x:c r="F105" s="22"/>
      <x:c r="H105" s="23"/>
      <x:c r="I105" s="23"/>
      <x:c r="J105" s="23"/>
      <x:c r="K105" s="24"/>
      <x:c r="L105" s="24"/>
      <x:c r="M105" s="24"/>
      <x:c r="N105" s="24"/>
      <x:c r="O105" s="24"/>
      <x:c r="P105" s="24"/>
      <x:c r="R105"/>
    </x:row>
    <x:row r="106" s="16" customFormat="1">
      <x:c r="A106"/>
      <x:c r="F106" s="22"/>
      <x:c r="H106" s="23"/>
      <x:c r="I106" s="23"/>
      <x:c r="J106" s="23"/>
      <x:c r="K106" s="24"/>
      <x:c r="L106" s="24"/>
      <x:c r="M106" s="24"/>
      <x:c r="N106" s="24"/>
      <x:c r="O106" s="24"/>
      <x:c r="P106" s="24"/>
      <x:c r="R106"/>
    </x:row>
    <x:row r="107" s="16" customFormat="1">
      <x:c r="A107"/>
      <x:c r="F107" s="22"/>
      <x:c r="H107" s="23"/>
      <x:c r="I107" s="23"/>
      <x:c r="J107" s="23"/>
      <x:c r="K107" s="24"/>
      <x:c r="L107" s="24"/>
      <x:c r="M107" s="24"/>
      <x:c r="N107" s="24"/>
      <x:c r="O107" s="24"/>
      <x:c r="P107" s="24"/>
      <x:c r="R107"/>
    </x:row>
    <x:row r="108" s="16" customFormat="1">
      <x:c r="A108"/>
      <x:c r="F108" s="22"/>
      <x:c r="H108" s="23"/>
      <x:c r="I108" s="23"/>
      <x:c r="J108" s="23"/>
      <x:c r="K108" s="24"/>
      <x:c r="L108" s="24"/>
      <x:c r="M108" s="24"/>
      <x:c r="N108" s="24"/>
      <x:c r="O108" s="24"/>
      <x:c r="P108" s="24"/>
      <x:c r="R108"/>
    </x:row>
    <x:row r="109" s="16" customFormat="1">
      <x:c r="A109"/>
      <x:c r="F109" s="22"/>
      <x:c r="H109" s="23"/>
      <x:c r="I109" s="23"/>
      <x:c r="J109" s="23"/>
      <x:c r="K109" s="24"/>
      <x:c r="L109" s="24"/>
      <x:c r="M109" s="24"/>
      <x:c r="N109" s="24"/>
      <x:c r="O109" s="24"/>
      <x:c r="P109" s="24"/>
      <x:c r="R109"/>
    </x:row>
    <x:row r="110" s="16" customFormat="1">
      <x:c r="A110"/>
      <x:c r="F110" s="22"/>
      <x:c r="H110" s="23"/>
      <x:c r="I110" s="23"/>
      <x:c r="J110" s="23"/>
      <x:c r="K110" s="24"/>
      <x:c r="L110" s="24"/>
      <x:c r="M110" s="24"/>
      <x:c r="N110" s="24"/>
      <x:c r="O110" s="24"/>
      <x:c r="P110" s="24"/>
      <x:c r="R110"/>
    </x:row>
    <x:row r="111" s="16" customFormat="1">
      <x:c r="A111"/>
      <x:c r="F111" s="22"/>
      <x:c r="H111" s="23"/>
      <x:c r="I111" s="23"/>
      <x:c r="J111" s="23"/>
      <x:c r="K111" s="24"/>
      <x:c r="L111" s="24"/>
      <x:c r="M111" s="24"/>
      <x:c r="N111" s="24"/>
      <x:c r="O111" s="24"/>
      <x:c r="P111" s="24"/>
      <x:c r="R111"/>
    </x:row>
    <x:row r="112" s="16" customFormat="1">
      <x:c r="A112"/>
      <x:c r="F112" s="22"/>
      <x:c r="H112" s="23"/>
      <x:c r="I112" s="23"/>
      <x:c r="J112" s="23"/>
      <x:c r="K112" s="24"/>
      <x:c r="L112" s="24"/>
      <x:c r="M112" s="24"/>
      <x:c r="N112" s="24"/>
      <x:c r="O112" s="24"/>
      <x:c r="P112" s="24"/>
      <x:c r="R112"/>
    </x:row>
    <x:row r="113" s="16" customFormat="1">
      <x:c r="A113"/>
      <x:c r="F113" s="22"/>
      <x:c r="H113" s="23"/>
      <x:c r="I113" s="23"/>
      <x:c r="J113" s="23"/>
      <x:c r="K113" s="24"/>
      <x:c r="L113" s="24"/>
      <x:c r="M113" s="24"/>
      <x:c r="N113" s="24"/>
      <x:c r="O113" s="24"/>
      <x:c r="P113" s="24"/>
      <x:c r="R113"/>
    </x:row>
    <x:row r="114" s="16" customFormat="1">
      <x:c r="A114"/>
      <x:c r="F114" s="22"/>
      <x:c r="H114" s="23"/>
      <x:c r="I114" s="23"/>
      <x:c r="J114" s="23"/>
      <x:c r="K114" s="24"/>
      <x:c r="L114" s="24"/>
      <x:c r="M114" s="24"/>
      <x:c r="N114" s="24"/>
      <x:c r="O114" s="24"/>
      <x:c r="P114" s="24"/>
      <x:c r="R114"/>
    </x:row>
    <x:row r="115" s="16" customFormat="1">
      <x:c r="A115"/>
      <x:c r="F115" s="22"/>
      <x:c r="H115" s="23"/>
      <x:c r="I115" s="23"/>
      <x:c r="J115" s="23"/>
      <x:c r="K115" s="24"/>
      <x:c r="L115" s="24"/>
      <x:c r="M115" s="24"/>
      <x:c r="N115" s="24"/>
      <x:c r="O115" s="24"/>
      <x:c r="P115" s="24"/>
      <x:c r="R115"/>
    </x:row>
    <x:row r="116" s="16" customFormat="1">
      <x:c r="A116"/>
      <x:c r="F116" s="22"/>
      <x:c r="H116" s="23"/>
      <x:c r="I116" s="23"/>
      <x:c r="J116" s="23"/>
      <x:c r="K116" s="24"/>
      <x:c r="L116" s="24"/>
      <x:c r="M116" s="24"/>
      <x:c r="N116" s="24"/>
      <x:c r="O116" s="24"/>
      <x:c r="P116" s="24"/>
      <x:c r="R116"/>
    </x:row>
    <x:row r="117" s="16" customFormat="1">
      <x:c r="A117"/>
      <x:c r="F117" s="22"/>
      <x:c r="H117" s="23"/>
      <x:c r="I117" s="23"/>
      <x:c r="J117" s="23"/>
      <x:c r="K117" s="24"/>
      <x:c r="L117" s="24"/>
      <x:c r="M117" s="24"/>
      <x:c r="N117" s="24"/>
      <x:c r="O117" s="24"/>
      <x:c r="P117" s="24"/>
      <x:c r="R117"/>
    </x:row>
  </x:sheetData>
  <x:mergeCells>
    <x:mergeCell ref="Q68:Q69"/>
    <x:mergeCell ref="B68:B69"/>
    <x:mergeCell ref="C68:C69"/>
    <x:mergeCell ref="D68:D69"/>
    <x:mergeCell ref="H68:H69"/>
    <x:mergeCell ref="K68:P68"/>
    <x:mergeCell ref="F2:F3"/>
    <x:mergeCell ref="B1:D1"/>
    <x:mergeCell ref="B2:B3"/>
    <x:mergeCell ref="C2:C3"/>
    <x:mergeCell ref="D2:D3"/>
    <x:mergeCell ref="E2:E3"/>
    <x:mergeCell ref="G2:G3"/>
    <x:mergeCell ref="H2:H3"/>
    <x:mergeCell ref="K2:K3"/>
    <x:mergeCell ref="H49:H50"/>
    <x:mergeCell ref="K49:P49"/>
    <x:mergeCell ref="L2:L3"/>
    <x:mergeCell ref="M2:M3"/>
    <x:mergeCell ref="Q49:Q50"/>
    <x:mergeCell ref="Q9:Q10"/>
    <x:mergeCell ref="B29:B30"/>
    <x:mergeCell ref="C29:C30"/>
    <x:mergeCell ref="D29:D30"/>
    <x:mergeCell ref="H29:H30"/>
    <x:mergeCell ref="K29:P29"/>
    <x:mergeCell ref="Q29:Q30"/>
    <x:mergeCell ref="B9:B10"/>
    <x:mergeCell ref="C9:C10"/>
    <x:mergeCell ref="D9:D10"/>
    <x:mergeCell ref="H9:H10"/>
    <x:mergeCell ref="K9:P9"/>
    <x:mergeCell ref="B49:B50"/>
    <x:mergeCell ref="C49:C50"/>
    <x:mergeCell ref="D49:D50"/>
  </x:mergeCells>
  <x:conditionalFormatting sqref="K11:K28 K31:K48 K51:K67 K70:K49999">
    <x:cfRule type="cellIs" dxfId="6" priority="6" operator="greaterThan">
      <x:formula>$C$6</x:formula>
    </x:cfRule>
    <x:cfRule type="cellIs" dxfId="5" priority="7" operator="greaterThan">
      <x:formula>$C$5</x:formula>
    </x:cfRule>
  </x:conditionalFormatting>
  <x:conditionalFormatting sqref="K11:P28 K31:P48 K51:P67 K70:P49999">
    <x:cfRule type="cellIs" dxfId="4" priority="5" operator="greaterThan">
      <x:formula>0</x:formula>
    </x:cfRule>
  </x:conditionalFormatting>
  <x:conditionalFormatting sqref="N11:N28 N31:N48 N51:N67 N70:N49999">
    <x:cfRule type="cellIs" dxfId="3" priority="3" operator="greaterThan">
      <x:formula>$E$6</x:formula>
    </x:cfRule>
    <x:cfRule type="cellIs" dxfId="2" priority="4" operator="greaterThan">
      <x:formula>$E$5</x:formula>
    </x:cfRule>
  </x:conditionalFormatting>
  <x:conditionalFormatting sqref="O11:O28 O31:O48 O51:O67 O70:O49999">
    <x:cfRule type="cellIs" dxfId="1" priority="1" operator="greaterThan">
      <x:formula>$K$6</x:formula>
    </x:cfRule>
    <x:cfRule type="cellIs" dxfId="0" priority="2" operator="greaterThan">
      <x:formula>$K$5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8.77734375" defaultRowHeight="14.399999618530273"/>
  <x:cols>
    <x:col min="1" max="1" width="9.33203125" customWidth="1"/>
  </x:cols>
  <x:sheetData>
    <x:row r="1" ht="15.600000381469727">
      <x:c r="A1" s="48" t="s">
        <x:v>59</x:v>
      </x:c>
    </x:row>
    <x:row r="3">
      <x:c r="B3" s="66" t="s">
        <x:v>60</x:v>
      </x:c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8"/>
    </x:row>
    <x:row r="4">
      <x:c r="B4" s="38" t="s">
        <x:v>61</x:v>
      </x:c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40"/>
      <x:c r="N4" s="40"/>
      <x:c r="O4" s="40"/>
      <x:c r="P4" s="41"/>
    </x:row>
    <x:row r="5">
      <x:c r="B5" s="42" t="s">
        <x:v>62</x:v>
      </x:c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7"/>
      <x:c r="N5" s="37"/>
      <x:c r="O5" s="37"/>
      <x:c r="P5" s="43"/>
    </x:row>
    <x:row r="6">
      <x:c r="B6" s="42" t="s">
        <x:v>63</x:v>
      </x:c>
      <x:c r="C6" s="36"/>
      <x:c r="D6" s="36"/>
      <x:c r="E6" s="36"/>
      <x:c r="F6" s="36"/>
      <x:c r="G6" s="36"/>
      <x:c r="H6" s="36"/>
      <x:c r="I6" s="36"/>
      <x:c r="J6" s="36"/>
      <x:c r="K6" s="36"/>
      <x:c r="L6" s="36"/>
      <x:c r="M6" s="37"/>
      <x:c r="N6" s="37"/>
      <x:c r="O6" s="37"/>
      <x:c r="P6" s="43"/>
    </x:row>
    <x:row r="7">
      <x:c r="B7" s="42" t="s">
        <x:v>64</x:v>
      </x:c>
      <x:c r="C7" s="36"/>
      <x:c r="D7" s="36"/>
      <x:c r="E7" s="36"/>
      <x:c r="F7" s="36"/>
      <x:c r="G7" s="36"/>
      <x:c r="H7" s="36"/>
      <x:c r="I7" s="36"/>
      <x:c r="J7" s="36"/>
      <x:c r="K7" s="36"/>
      <x:c r="L7" s="36"/>
      <x:c r="M7" s="37"/>
      <x:c r="N7" s="37"/>
      <x:c r="O7" s="37"/>
      <x:c r="P7" s="43"/>
    </x:row>
    <x:row r="8">
      <x:c r="B8" s="42" t="s">
        <x:v>65</x:v>
      </x:c>
      <x:c r="C8" s="36"/>
      <x:c r="D8" s="36"/>
      <x:c r="E8" s="36"/>
      <x:c r="F8" s="36"/>
      <x:c r="G8" s="36"/>
      <x:c r="H8" s="36"/>
      <x:c r="I8" s="36"/>
      <x:c r="J8" s="36"/>
      <x:c r="K8" s="36"/>
      <x:c r="L8" s="36"/>
      <x:c r="M8" s="37"/>
      <x:c r="N8" s="37"/>
      <x:c r="O8" s="37"/>
      <x:c r="P8" s="43"/>
    </x:row>
    <x:row r="9">
      <x:c r="B9" s="44" t="s">
        <x:v>66</x:v>
      </x:c>
      <x:c r="C9" s="37"/>
      <x:c r="D9" s="37"/>
      <x:c r="E9" s="37"/>
      <x:c r="F9" s="37"/>
      <x:c r="G9" s="37"/>
      <x:c r="H9" s="37"/>
      <x:c r="I9" s="37"/>
      <x:c r="J9" s="37"/>
      <x:c r="K9" s="37"/>
      <x:c r="L9" s="37"/>
      <x:c r="M9" s="37"/>
      <x:c r="N9" s="37"/>
      <x:c r="O9" s="37"/>
      <x:c r="P9" s="43"/>
    </x:row>
    <x:row r="10">
      <x:c r="B10" s="44" t="s">
        <x:v>67</x:v>
      </x:c>
      <x:c r="C10" s="37"/>
      <x:c r="D10" s="37"/>
      <x:c r="E10" s="37"/>
      <x:c r="F10" s="37"/>
      <x:c r="G10" s="37"/>
      <x:c r="H10" s="37"/>
      <x:c r="I10" s="37"/>
      <x:c r="J10" s="37"/>
      <x:c r="K10" s="37"/>
      <x:c r="L10" s="37"/>
      <x:c r="M10" s="37"/>
      <x:c r="N10" s="37"/>
      <x:c r="O10" s="37"/>
      <x:c r="P10" s="43"/>
    </x:row>
    <x:row r="11">
      <x:c r="B11" s="44" t="s">
        <x:v>68</x:v>
      </x:c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43"/>
    </x:row>
    <x:row r="12">
      <x:c r="B12" s="44" t="s">
        <x:v>69</x:v>
      </x:c>
      <x:c r="C12" s="37"/>
      <x:c r="D12" s="37"/>
      <x:c r="E12" s="37"/>
      <x:c r="F12" s="37"/>
      <x:c r="G12" s="37"/>
      <x:c r="H12" s="37"/>
      <x:c r="I12" s="37"/>
      <x:c r="J12" s="37"/>
      <x:c r="K12" s="37"/>
      <x:c r="L12" s="37"/>
      <x:c r="M12" s="37"/>
      <x:c r="N12" s="37"/>
      <x:c r="O12" s="37"/>
      <x:c r="P12" s="43"/>
    </x:row>
    <x:row r="13">
      <x:c r="B13" s="45" t="s">
        <x:v>70</x:v>
      </x:c>
      <x:c r="C13" s="46"/>
      <x:c r="D13" s="46"/>
      <x:c r="E13" s="46"/>
      <x:c r="F13" s="46"/>
      <x:c r="G13" s="46"/>
      <x:c r="H13" s="46"/>
      <x:c r="I13" s="46"/>
      <x:c r="J13" s="46"/>
      <x:c r="K13" s="46"/>
      <x:c r="L13" s="46"/>
      <x:c r="M13" s="46"/>
      <x:c r="N13" s="46"/>
      <x:c r="O13" s="46"/>
      <x:c r="P13" s="47"/>
    </x:row>
    <x:row r="15">
      <x:c r="B15" s="69" t="s">
        <x:v>71</x:v>
      </x:c>
      <x:c r="C15" s="70"/>
      <x:c r="D15" s="70"/>
      <x:c r="E15" s="70"/>
      <x:c r="F15" s="70"/>
      <x:c r="G15" s="70"/>
      <x:c r="H15" s="70"/>
      <x:c r="I15" s="70"/>
      <x:c r="J15" s="70"/>
      <x:c r="K15" s="70"/>
      <x:c r="L15" s="70"/>
      <x:c r="M15" s="70"/>
      <x:c r="N15" s="71"/>
      <x:c r="O15" s="49"/>
      <x:c r="P15" s="49"/>
    </x:row>
    <x:row r="16">
      <x:c r="B16" s="50" t="s">
        <x:v>72</x:v>
      </x:c>
      <x:c r="C16" s="51"/>
      <x:c r="D16" s="51"/>
      <x:c r="E16" s="51"/>
      <x:c r="F16" s="51"/>
      <x:c r="G16" s="51"/>
      <x:c r="H16" s="51"/>
      <x:c r="I16" s="51"/>
      <x:c r="J16" s="51"/>
      <x:c r="K16" s="51"/>
      <x:c r="L16" s="51"/>
      <x:c r="M16" s="51"/>
      <x:c r="N16" s="52"/>
    </x:row>
    <x:row r="17">
      <x:c r="B17" s="53" t="s">
        <x:v>73</x:v>
      </x:c>
      <x:c r="C17" s="54"/>
      <x:c r="D17" s="54"/>
      <x:c r="E17" s="54"/>
      <x:c r="F17" s="54"/>
      <x:c r="G17" s="54"/>
      <x:c r="H17" s="54"/>
      <x:c r="I17" s="54"/>
      <x:c r="J17" s="54"/>
      <x:c r="K17" s="54"/>
      <x:c r="L17" s="54"/>
      <x:c r="M17" s="54"/>
      <x:c r="N17" s="55"/>
    </x:row>
  </x:sheetData>
  <x:mergeCells>
    <x:mergeCell ref="B3:P3"/>
    <x:mergeCell ref="B15:N15"/>
  </x:mergeCells>
  <x:pageMargins left="0.7" right="0.7" top="0.75" bottom="0.75" header="0.3" footer="0.3"/>
  <x:drawing xmlns:r="http://schemas.openxmlformats.org/officeDocument/2006/relationships" r:id="Rf93caff7d2c04b97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.130000114440918" hidden="0" customWidth="1"/>
    <x:col min="3" max="3" width="8.630000114440918" hidden="0" customWidth="1"/>
    <x:col min="4" max="4" width="9.630000114440918" hidden="0" customWidth="1"/>
    <x:col min="5" max="5" width="9.75" hidden="0" customWidth="1"/>
    <x:col min="6" max="6" width="10.880000114440918" hidden="0" customWidth="1"/>
    <x:col min="7" max="7" width="8.630000114440918" hidden="0" customWidth="1"/>
  </x:cols>
  <x:sheetData>
    <x:row r="1">
      <x:c r="A1" s="74" t="str">
        <x:v>Flat Screen Test Summary by Brand</x:v>
      </x:c>
      <x:c r="B1" s="73"/>
      <x:c r="C1" s="73"/>
      <x:c r="D1" s="73"/>
      <x:c r="E1" s="73"/>
      <x:c r="F1" s="73"/>
      <x:c r="G1" s="73"/>
      <x:c r="H1" s="73"/>
    </x:row>
    <x:row r="2">
      <x:c r="A2" s="73" t="str">
        <x:v>Standard test time: 10 minutes (Remark = 10Min)</x:v>
      </x:c>
      <x:c r="B2" s="73"/>
      <x:c r="C2" s="73"/>
      <x:c r="D2" s="73"/>
      <x:c r="E2" s="73"/>
      <x:c r="F2" s="73"/>
      <x:c r="G2" s="73"/>
      <x:c r="H2" s="73"/>
    </x:row>
    <x:row r="4">
      <x:c r="A4" s="77" t="str">
        <x:v>Brand</x:v>
      </x:c>
      <x:c r="B4" s="78" t="str">
        <x:v>Bundle (pcs)</x:v>
      </x:c>
      <x:c r="C4" s="78" t="str">
        <x:v>Twist (pcs)</x:v>
      </x:c>
      <x:c r="D4" s="78" t="str">
        <x:v>Tangle (pcs)</x:v>
      </x:c>
      <x:c r="E4" s="78" t="str">
        <x:v>Defect (pcs)</x:v>
      </x:c>
      <x:c r="F4" s="78" t="str">
        <x:v>Long filament</x:v>
      </x:c>
      <x:c r="G4" s="79" t="str">
        <x:v>Remain (g)</x:v>
      </x:c>
    </x:row>
    <x:row r="5">
      <x:c r="A5" s="80" t="str">
        <x:v>SD3.0_5N(C)</x:v>
      </x:c>
      <x:c r="B5" s="83" t="n">
        <x:f>SUMIFS('SD3.0_5N(C)'!$K$68:$K$90,'SD3.0_5N(C)'!$Q$68:$Q$90,"10Min")</x:f>
        <x:v>0</x:v>
      </x:c>
      <x:c r="C5" s="83" t="n">
        <x:f>SUMIFS('SD3.0_5N(C)'!$L$68:$L$90,'SD3.0_5N(C)'!$Q$68:$Q$90,"10Min")</x:f>
        <x:v>0</x:v>
      </x:c>
      <x:c r="D5" s="83" t="n">
        <x:f>SUMIFS('SD3.0_5N(C)'!$M$68:$M$90,'SD3.0_5N(C)'!$Q$68:$Q$90,"10Min")</x:f>
        <x:v>0</x:v>
      </x:c>
      <x:c r="E5" s="83" t="n">
        <x:f>SUMIFS('SD3.0_5N(C)'!$N$68:$N$90,'SD3.0_5N(C)'!$Q$68:$Q$90,"10Min")</x:f>
        <x:v>0</x:v>
      </x:c>
      <x:c r="F5" s="83" t="n">
        <x:f>SUMIFS('SD3.0_5N(C)'!$O$68:$O$90,'SD3.0_5N(C)'!$Q$68:$Q$90,"10Min")</x:f>
        <x:v>0</x:v>
      </x:c>
      <x:c r="G5" s="83" t="n">
        <x:f>SUMIFS('SD3.0_5N(C)'!$P$68:$P$90,'SD3.0_5N(C)'!$Q$68:$Q$90,"10Min")</x:f>
        <x:v>0</x:v>
      </x:c>
    </x:row>
    <x:row r="6">
      <x:c r="A6" s="81" t="str">
        <x:v>SD0.5_5N(E)</x:v>
      </x:c>
      <x:c r="B6" s="84" t="n">
        <x:f>SUMIFS('SD0.5_5N(E)'!$K$68:$K$90,'SD0.5_5N(E)'!$Q$68:$Q$90,"10Min")</x:f>
        <x:v>0</x:v>
      </x:c>
      <x:c r="C6" s="84" t="n">
        <x:f>SUMIFS('SD0.5_5N(E)'!$L$68:$L$90,'SD0.5_5N(E)'!$Q$68:$Q$90,"10Min")</x:f>
        <x:v>0</x:v>
      </x:c>
      <x:c r="D6" s="84" t="n">
        <x:f>SUMIFS('SD0.5_5N(E)'!$M$68:$M$90,'SD0.5_5N(E)'!$Q$68:$Q$90,"10Min")</x:f>
        <x:v>10</x:v>
      </x:c>
      <x:c r="E6" s="84" t="n">
        <x:f>SUMIFS('SD0.5_5N(E)'!$N$68:$N$90,'SD0.5_5N(E)'!$Q$68:$Q$90,"10Min")</x:f>
        <x:v>10</x:v>
      </x:c>
      <x:c r="F6" s="84" t="n">
        <x:f>SUMIFS('SD0.5_5N(E)'!$O$68:$O$90,'SD0.5_5N(E)'!$Q$68:$Q$90,"10Min")</x:f>
        <x:v>1</x:v>
      </x:c>
      <x:c r="G6" s="84" t="n">
        <x:f>SUMIFS('SD0.5_5N(E)'!$P$68:$P$90,'SD0.5_5N(E)'!$Q$68:$Q$90,"10Min")</x:f>
        <x:v>0</x:v>
      </x:c>
    </x:row>
    <x:row r="7">
      <x:c r="A7" s="81" t="str">
        <x:v>SD1.1_5NU(E)</x:v>
      </x:c>
      <x:c r="B7" s="84" t="n">
        <x:f>SUMIFS('SD1.1_5NU(E)'!$K$68:$K$90,'SD1.1_5NU(E)'!$Q$68:$Q$90,"10Min")</x:f>
        <x:v>0</x:v>
      </x:c>
      <x:c r="C7" s="84" t="n">
        <x:f>SUMIFS('SD1.1_5NU(E)'!$L$68:$L$90,'SD1.1_5NU(E)'!$Q$68:$Q$90,"10Min")</x:f>
        <x:v>0</x:v>
      </x:c>
      <x:c r="D7" s="84" t="n">
        <x:f>SUMIFS('SD1.1_5NU(E)'!$M$68:$M$90,'SD1.1_5NU(E)'!$Q$68:$Q$90,"10Min")</x:f>
        <x:v>0</x:v>
      </x:c>
      <x:c r="E7" s="84" t="n">
        <x:f>SUMIFS('SD1.1_5NU(E)'!$N$68:$N$90,'SD1.1_5NU(E)'!$Q$68:$Q$90,"10Min")</x:f>
        <x:v>0</x:v>
      </x:c>
      <x:c r="F7" s="84" t="n">
        <x:f>SUMIFS('SD1.1_5NU(E)'!$O$68:$O$90,'SD1.1_5NU(E)'!$Q$68:$Q$90,"10Min")</x:f>
        <x:v>1</x:v>
      </x:c>
      <x:c r="G7" s="84" t="n">
        <x:f>SUMIFS('SD1.1_5NU(E)'!$P$68:$P$90,'SD1.1_5NU(E)'!$Q$68:$Q$90,"10Min")</x:f>
        <x:v>0</x:v>
      </x:c>
    </x:row>
    <x:row r="8">
      <x:c r="A8" s="81" t="str">
        <x:v>SD1.1_5NU(E)T</x:v>
      </x:c>
      <x:c r="B8" s="84" t="n">
        <x:f>SUMIFS('SD1.1_5NU(E)T'!$K$68:$K$90,'SD1.1_5NU(E)T'!$Q$68:$Q$90,"10Min")</x:f>
        <x:v>0</x:v>
      </x:c>
      <x:c r="C8" s="84" t="n">
        <x:f>SUMIFS('SD1.1_5NU(E)T'!$L$68:$L$90,'SD1.1_5NU(E)T'!$Q$68:$Q$90,"10Min")</x:f>
        <x:v>0</x:v>
      </x:c>
      <x:c r="D8" s="84" t="n">
        <x:f>SUMIFS('SD1.1_5NU(E)T'!$M$68:$M$90,'SD1.1_5NU(E)T'!$Q$68:$Q$90,"10Min")</x:f>
        <x:v>22</x:v>
      </x:c>
      <x:c r="E8" s="84" t="n">
        <x:f>SUMIFS('SD1.1_5NU(E)T'!$N$68:$N$90,'SD1.1_5NU(E)T'!$Q$68:$Q$90,"10Min")</x:f>
        <x:v>22</x:v>
      </x:c>
      <x:c r="F8" s="84" t="n">
        <x:f>SUMIFS('SD1.1_5NU(E)T'!$O$68:$O$90,'SD1.1_5NU(E)T'!$Q$68:$Q$90,"10Min")</x:f>
        <x:v>0</x:v>
      </x:c>
      <x:c r="G8" s="84" t="n">
        <x:f>SUMIFS('SD1.1_5NU(E)T'!$P$68:$P$90,'SD1.1_5NU(E)T'!$Q$68:$Q$90,"10Min")</x:f>
        <x:v>0</x:v>
      </x:c>
    </x:row>
    <x:row r="9">
      <x:c r="A9" s="81" t="str">
        <x:v>SDJC1.5_5N(E)</x:v>
      </x:c>
      <x:c r="B9" s="84" t="n">
        <x:f>SUMIFS('SDJC1.5_5N(E)'!$K$68:$K$90,'SDJC1.5_5N(E)'!$Q$68:$Q$90,"10Min")</x:f>
        <x:v>0</x:v>
      </x:c>
      <x:c r="C9" s="84" t="n">
        <x:f>SUMIFS('SDJC1.5_5N(E)'!$L$68:$L$90,'SDJC1.5_5N(E)'!$Q$68:$Q$90,"10Min")</x:f>
        <x:v>0</x:v>
      </x:c>
      <x:c r="D9" s="84" t="n">
        <x:f>SUMIFS('SDJC1.5_5N(E)'!$M$68:$M$90,'SDJC1.5_5N(E)'!$Q$68:$Q$90,"10Min")</x:f>
        <x:v>13</x:v>
      </x:c>
      <x:c r="E9" s="84" t="n">
        <x:f>SUMIFS('SDJC1.5_5N(E)'!$N$68:$N$90,'SDJC1.5_5N(E)'!$Q$68:$Q$90,"10Min")</x:f>
        <x:v>13</x:v>
      </x:c>
      <x:c r="F9" s="84" t="n">
        <x:f>SUMIFS('SDJC1.5_5N(E)'!$O$68:$O$90,'SDJC1.5_5N(E)'!$Q$68:$Q$90,"10Min")</x:f>
        <x:v>0</x:v>
      </x:c>
      <x:c r="G9" s="84" t="n">
        <x:f>SUMIFS('SDJC1.5_5N(E)'!$P$68:$P$90,'SDJC1.5_5N(E)'!$Q$68:$Q$90,"10Min")</x:f>
        <x:v>0</x:v>
      </x:c>
    </x:row>
    <x:row r="10">
      <x:c r="A10" s="81" t="str">
        <x:v>SDJC2.0_5N(E)</x:v>
      </x:c>
      <x:c r="B10" s="84" t="n">
        <x:f>SUMIFS('SDJC2.0_5N(E)'!$K$68:$K$90,'SDJC2.0_5N(E)'!$Q$68:$Q$90,"10Min")</x:f>
        <x:v>0</x:v>
      </x:c>
      <x:c r="C10" s="84" t="n">
        <x:f>SUMIFS('SDJC2.0_5N(E)'!$L$68:$L$90,'SDJC2.0_5N(E)'!$Q$68:$Q$90,"10Min")</x:f>
        <x:v>0</x:v>
      </x:c>
      <x:c r="D10" s="84" t="n">
        <x:f>SUMIFS('SDJC2.0_5N(E)'!$M$68:$M$90,'SDJC2.0_5N(E)'!$Q$68:$Q$90,"10Min")</x:f>
        <x:v>17</x:v>
      </x:c>
      <x:c r="E10" s="84" t="n">
        <x:f>SUMIFS('SDJC2.0_5N(E)'!$N$68:$N$90,'SDJC2.0_5N(E)'!$Q$68:$Q$90,"10Min")</x:f>
        <x:v>17</x:v>
      </x:c>
      <x:c r="F10" s="84" t="n">
        <x:f>SUMIFS('SDJC2.0_5N(E)'!$O$68:$O$90,'SDJC2.0_5N(E)'!$Q$68:$Q$90,"10Min")</x:f>
        <x:v>0</x:v>
      </x:c>
      <x:c r="G10" s="84" t="n">
        <x:f>SUMIFS('SDJC2.0_5N(E)'!$P$68:$P$90,'SDJC2.0_5N(E)'!$Q$68:$Q$90,"10Min")</x:f>
        <x:v>0</x:v>
      </x:c>
    </x:row>
    <x:row r="11">
      <x:c r="A11" s="82" t="str">
        <x:v>SD1.1_5NUK(C)</x:v>
      </x:c>
      <x:c r="B11" s="85" t="n">
        <x:f>SUMIFS('SD1.1_5NUK(C)'!$K$68:$K$90,'SD1.1_5NUK(C)'!$Q$68:$Q$90,"10Min")</x:f>
        <x:v>0</x:v>
      </x:c>
      <x:c r="C11" s="85" t="n">
        <x:f>SUMIFS('SD1.1_5NUK(C)'!$L$68:$L$90,'SD1.1_5NUK(C)'!$Q$68:$Q$90,"10Min")</x:f>
        <x:v>0</x:v>
      </x:c>
      <x:c r="D11" s="85" t="n">
        <x:f>SUMIFS('SD1.1_5NUK(C)'!$M$68:$M$90,'SD1.1_5NUK(C)'!$Q$68:$Q$90,"10Min")</x:f>
        <x:v>2</x:v>
      </x:c>
      <x:c r="E11" s="85" t="n">
        <x:f>SUMIFS('SD1.1_5NUK(C)'!$N$68:$N$90,'SD1.1_5NUK(C)'!$Q$68:$Q$90,"10Min")</x:f>
        <x:v>2</x:v>
      </x:c>
      <x:c r="F11" s="85" t="n">
        <x:f>SUMIFS('SD1.1_5NUK(C)'!$O$68:$O$90,'SD1.1_5NUK(C)'!$Q$68:$Q$90,"10Min")</x:f>
        <x:v>0</x:v>
      </x:c>
      <x:c r="G11" s="85" t="n">
        <x:f>SUMIFS('SD1.1_5NUK(C)'!$P$68:$P$90,'SD1.1_5NUK(C)'!$Q$68:$Q$90,"10Min")</x:f>
        <x:v>0</x:v>
      </x:c>
    </x:row>
    <x:row r="15">
      <x:c r="A15" s="91" t="str">
        <x:v>Metric</x:v>
      </x:c>
      <x:c r="B15" s="91" t="str">
        <x:v>Value</x:v>
      </x:c>
    </x:row>
    <x:row r="16">
      <x:c r="A16" s="91" t="str">
        <x:v>Bundle (pcs)</x:v>
      </x:c>
      <x:c r="B16" s="92" t="n">
        <x:f>B5</x:f>
        <x:v>0</x:v>
      </x:c>
    </x:row>
    <x:row r="17">
      <x:c r="A17" s="91" t="str">
        <x:v>Twist (pcs)</x:v>
      </x:c>
      <x:c r="B17" s="92" t="n">
        <x:f>C5</x:f>
        <x:v>0</x:v>
      </x:c>
    </x:row>
    <x:row r="18">
      <x:c r="A18" s="91" t="str">
        <x:v>Tangle (pcs)</x:v>
      </x:c>
      <x:c r="B18" s="92" t="n">
        <x:f>D5</x:f>
        <x:v>0</x:v>
      </x:c>
    </x:row>
    <x:row r="19">
      <x:c r="A19" s="91" t="str">
        <x:v>Defect (pcs)</x:v>
      </x:c>
      <x:c r="B19" s="92" t="n">
        <x:f>E5</x:f>
        <x:v>0</x:v>
      </x:c>
    </x:row>
    <x:row r="20">
      <x:c r="A20" s="91" t="str">
        <x:v>Long filament</x:v>
      </x:c>
      <x:c r="B20" s="92" t="n">
        <x:f>F5</x:f>
        <x:v>0</x:v>
      </x:c>
    </x:row>
    <x:row r="21">
      <x:c r="A21" s="91" t="str">
        <x:v>Remain (g)</x:v>
      </x:c>
      <x:c r="B21" s="92" t="n">
        <x:f>G5</x:f>
        <x:v>0</x:v>
      </x:c>
    </x:row>
    <x:row r="22">
      <x:c r="A22" s="93"/>
      <x:c r="B22" s="93"/>
    </x:row>
    <x:row r="23">
      <x:c r="A23" s="93"/>
      <x:c r="B23" s="93"/>
    </x:row>
    <x:row r="24">
      <x:c r="A24" s="91" t="str">
        <x:v>Metric</x:v>
      </x:c>
      <x:c r="B24" s="91" t="str">
        <x:v>Value</x:v>
      </x:c>
    </x:row>
    <x:row r="25">
      <x:c r="A25" s="91" t="str">
        <x:v>Bundle (pcs)</x:v>
      </x:c>
      <x:c r="B25" s="92" t="n">
        <x:f>B6</x:f>
        <x:v>0</x:v>
      </x:c>
    </x:row>
    <x:row r="26">
      <x:c r="A26" s="91" t="str">
        <x:v>Twist (pcs)</x:v>
      </x:c>
      <x:c r="B26" s="92" t="n">
        <x:f>C6</x:f>
        <x:v>0</x:v>
      </x:c>
    </x:row>
    <x:row r="27">
      <x:c r="A27" s="91" t="str">
        <x:v>Tangle (pcs)</x:v>
      </x:c>
      <x:c r="B27" s="92" t="n">
        <x:f>D6</x:f>
        <x:v>10</x:v>
      </x:c>
    </x:row>
    <x:row r="28">
      <x:c r="A28" s="91" t="str">
        <x:v>Defect (pcs)</x:v>
      </x:c>
      <x:c r="B28" s="92" t="n">
        <x:f>E6</x:f>
        <x:v>10</x:v>
      </x:c>
    </x:row>
    <x:row r="29">
      <x:c r="A29" s="91" t="str">
        <x:v>Long filament</x:v>
      </x:c>
      <x:c r="B29" s="92" t="n">
        <x:f>F6</x:f>
        <x:v>1</x:v>
      </x:c>
    </x:row>
    <x:row r="30">
      <x:c r="A30" s="91" t="str">
        <x:v>Remain (g)</x:v>
      </x:c>
      <x:c r="B30" s="92" t="n">
        <x:f>G6</x:f>
        <x:v>0</x:v>
      </x:c>
    </x:row>
    <x:row r="31">
      <x:c r="A31" s="93"/>
      <x:c r="B31" s="93"/>
    </x:row>
    <x:row r="32">
      <x:c r="A32" s="93"/>
      <x:c r="B32" s="93"/>
    </x:row>
    <x:row r="33">
      <x:c r="A33" s="91" t="str">
        <x:v>Metric</x:v>
      </x:c>
      <x:c r="B33" s="91" t="str">
        <x:v>Value</x:v>
      </x:c>
    </x:row>
    <x:row r="34">
      <x:c r="A34" s="91" t="str">
        <x:v>Bundle (pcs)</x:v>
      </x:c>
      <x:c r="B34" s="92" t="n">
        <x:f>B7</x:f>
        <x:v>0</x:v>
      </x:c>
    </x:row>
    <x:row r="35">
      <x:c r="A35" s="91" t="str">
        <x:v>Twist (pcs)</x:v>
      </x:c>
      <x:c r="B35" s="92" t="n">
        <x:f>C7</x:f>
        <x:v>0</x:v>
      </x:c>
    </x:row>
    <x:row r="36">
      <x:c r="A36" s="91" t="str">
        <x:v>Tangle (pcs)</x:v>
      </x:c>
      <x:c r="B36" s="92" t="n">
        <x:f>D7</x:f>
        <x:v>0</x:v>
      </x:c>
    </x:row>
    <x:row r="37">
      <x:c r="A37" s="91" t="str">
        <x:v>Defect (pcs)</x:v>
      </x:c>
      <x:c r="B37" s="92" t="n">
        <x:f>E7</x:f>
        <x:v>0</x:v>
      </x:c>
    </x:row>
    <x:row r="38">
      <x:c r="A38" s="91" t="str">
        <x:v>Long filament</x:v>
      </x:c>
      <x:c r="B38" s="92" t="n">
        <x:f>F7</x:f>
        <x:v>1</x:v>
      </x:c>
    </x:row>
    <x:row r="39">
      <x:c r="A39" s="91" t="str">
        <x:v>Remain (g)</x:v>
      </x:c>
      <x:c r="B39" s="92" t="n">
        <x:f>G7</x:f>
        <x:v>0</x:v>
      </x:c>
    </x:row>
    <x:row r="40">
      <x:c r="A40" s="93"/>
      <x:c r="B40" s="93"/>
    </x:row>
    <x:row r="41">
      <x:c r="A41" s="93"/>
      <x:c r="B41" s="93"/>
    </x:row>
    <x:row r="42">
      <x:c r="A42" s="91" t="str">
        <x:v>Metric</x:v>
      </x:c>
      <x:c r="B42" s="91" t="str">
        <x:v>Value</x:v>
      </x:c>
    </x:row>
    <x:row r="43">
      <x:c r="A43" s="91" t="str">
        <x:v>Bundle (pcs)</x:v>
      </x:c>
      <x:c r="B43" s="92" t="n">
        <x:f>B8</x:f>
        <x:v>0</x:v>
      </x:c>
    </x:row>
    <x:row r="44">
      <x:c r="A44" s="91" t="str">
        <x:v>Twist (pcs)</x:v>
      </x:c>
      <x:c r="B44" s="92" t="n">
        <x:f>C8</x:f>
        <x:v>0</x:v>
      </x:c>
    </x:row>
    <x:row r="45">
      <x:c r="A45" s="91" t="str">
        <x:v>Tangle (pcs)</x:v>
      </x:c>
      <x:c r="B45" s="92" t="n">
        <x:f>D8</x:f>
        <x:v>22</x:v>
      </x:c>
    </x:row>
    <x:row r="46">
      <x:c r="A46" s="91" t="str">
        <x:v>Defect (pcs)</x:v>
      </x:c>
      <x:c r="B46" s="92" t="n">
        <x:f>E8</x:f>
        <x:v>22</x:v>
      </x:c>
    </x:row>
    <x:row r="47">
      <x:c r="A47" s="91" t="str">
        <x:v>Long filament</x:v>
      </x:c>
      <x:c r="B47" s="92" t="n">
        <x:f>F8</x:f>
        <x:v>0</x:v>
      </x:c>
    </x:row>
    <x:row r="48">
      <x:c r="A48" s="91" t="str">
        <x:v>Remain (g)</x:v>
      </x:c>
      <x:c r="B48" s="92" t="n">
        <x:f>G8</x:f>
        <x:v>0</x:v>
      </x:c>
    </x:row>
    <x:row r="49">
      <x:c r="A49" s="93"/>
      <x:c r="B49" s="93"/>
    </x:row>
    <x:row r="50">
      <x:c r="A50" s="93"/>
      <x:c r="B50" s="93"/>
    </x:row>
    <x:row r="51">
      <x:c r="A51" s="91" t="str">
        <x:v>Metric</x:v>
      </x:c>
      <x:c r="B51" s="91" t="str">
        <x:v>Value</x:v>
      </x:c>
    </x:row>
    <x:row r="52">
      <x:c r="A52" s="91" t="str">
        <x:v>Bundle (pcs)</x:v>
      </x:c>
      <x:c r="B52" s="92" t="n">
        <x:f>B9</x:f>
        <x:v>0</x:v>
      </x:c>
    </x:row>
    <x:row r="53">
      <x:c r="A53" s="91" t="str">
        <x:v>Twist (pcs)</x:v>
      </x:c>
      <x:c r="B53" s="92" t="n">
        <x:f>C9</x:f>
        <x:v>0</x:v>
      </x:c>
    </x:row>
    <x:row r="54">
      <x:c r="A54" s="91" t="str">
        <x:v>Tangle (pcs)</x:v>
      </x:c>
      <x:c r="B54" s="92" t="n">
        <x:f>D9</x:f>
        <x:v>13</x:v>
      </x:c>
    </x:row>
    <x:row r="55">
      <x:c r="A55" s="91" t="str">
        <x:v>Defect (pcs)</x:v>
      </x:c>
      <x:c r="B55" s="92" t="n">
        <x:f>E9</x:f>
        <x:v>13</x:v>
      </x:c>
    </x:row>
    <x:row r="56">
      <x:c r="A56" s="91" t="str">
        <x:v>Long filament</x:v>
      </x:c>
      <x:c r="B56" s="92" t="n">
        <x:f>F9</x:f>
        <x:v>0</x:v>
      </x:c>
    </x:row>
    <x:row r="57">
      <x:c r="A57" s="91" t="str">
        <x:v>Remain (g)</x:v>
      </x:c>
      <x:c r="B57" s="92" t="n">
        <x:f>G9</x:f>
        <x:v>0</x:v>
      </x:c>
    </x:row>
    <x:row r="58">
      <x:c r="A58" s="93"/>
      <x:c r="B58" s="93"/>
    </x:row>
    <x:row r="59">
      <x:c r="A59" s="93"/>
      <x:c r="B59" s="93"/>
    </x:row>
    <x:row r="60">
      <x:c r="A60" s="91" t="str">
        <x:v>Metric</x:v>
      </x:c>
      <x:c r="B60" s="91" t="str">
        <x:v>Value</x:v>
      </x:c>
    </x:row>
    <x:row r="61">
      <x:c r="A61" s="91" t="str">
        <x:v>Bundle (pcs)</x:v>
      </x:c>
      <x:c r="B61" s="92" t="n">
        <x:f>B10</x:f>
        <x:v>0</x:v>
      </x:c>
    </x:row>
    <x:row r="62">
      <x:c r="A62" s="91" t="str">
        <x:v>Twist (pcs)</x:v>
      </x:c>
      <x:c r="B62" s="92" t="n">
        <x:f>C10</x:f>
        <x:v>0</x:v>
      </x:c>
    </x:row>
    <x:row r="63">
      <x:c r="A63" s="91" t="str">
        <x:v>Tangle (pcs)</x:v>
      </x:c>
      <x:c r="B63" s="92" t="n">
        <x:f>D10</x:f>
        <x:v>17</x:v>
      </x:c>
    </x:row>
    <x:row r="64">
      <x:c r="A64" s="91" t="str">
        <x:v>Defect (pcs)</x:v>
      </x:c>
      <x:c r="B64" s="92" t="n">
        <x:f>E10</x:f>
        <x:v>17</x:v>
      </x:c>
    </x:row>
    <x:row r="65">
      <x:c r="A65" s="91" t="str">
        <x:v>Long filament</x:v>
      </x:c>
      <x:c r="B65" s="92" t="n">
        <x:f>F10</x:f>
        <x:v>0</x:v>
      </x:c>
    </x:row>
    <x:row r="66">
      <x:c r="A66" s="91" t="str">
        <x:v>Remain (g)</x:v>
      </x:c>
      <x:c r="B66" s="92" t="n">
        <x:f>G10</x:f>
        <x:v>0</x:v>
      </x:c>
    </x:row>
    <x:row r="67">
      <x:c r="A67" s="93"/>
      <x:c r="B67" s="93"/>
    </x:row>
    <x:row r="68">
      <x:c r="A68" s="93"/>
      <x:c r="B68" s="93"/>
    </x:row>
    <x:row r="69">
      <x:c r="A69" s="91" t="str">
        <x:v>Metric</x:v>
      </x:c>
      <x:c r="B69" s="91" t="str">
        <x:v>Value</x:v>
      </x:c>
    </x:row>
    <x:row r="70">
      <x:c r="A70" s="91" t="str">
        <x:v>Bundle (pcs)</x:v>
      </x:c>
      <x:c r="B70" s="92" t="n">
        <x:f>B11</x:f>
        <x:v>0</x:v>
      </x:c>
    </x:row>
    <x:row r="71">
      <x:c r="A71" s="91" t="str">
        <x:v>Twist (pcs)</x:v>
      </x:c>
      <x:c r="B71" s="92" t="n">
        <x:f>C11</x:f>
        <x:v>0</x:v>
      </x:c>
    </x:row>
    <x:row r="72">
      <x:c r="A72" s="91" t="str">
        <x:v>Tangle (pcs)</x:v>
      </x:c>
      <x:c r="B72" s="92" t="n">
        <x:f>D11</x:f>
        <x:v>2</x:v>
      </x:c>
    </x:row>
    <x:row r="73">
      <x:c r="A73" s="91" t="str">
        <x:v>Defect (pcs)</x:v>
      </x:c>
      <x:c r="B73" s="92" t="n">
        <x:f>E11</x:f>
        <x:v>2</x:v>
      </x:c>
    </x:row>
    <x:row r="74">
      <x:c r="A74" s="91" t="str">
        <x:v>Long filament</x:v>
      </x:c>
      <x:c r="B74" s="92" t="n">
        <x:f>F11</x:f>
        <x:v>0</x:v>
      </x:c>
    </x:row>
    <x:row r="75">
      <x:c r="A75" s="91" t="str">
        <x:v>Remain (g)</x:v>
      </x:c>
      <x:c r="B75" s="92" t="n">
        <x:f>G11</x:f>
        <x:v>0</x:v>
      </x:c>
    </x:row>
    <x:row r="76">
      <x:c r="A76" s="93"/>
      <x:c r="B76" s="93"/>
    </x:row>
    <x:row r="77">
      <x:c r="A77" s="93"/>
      <x:c r="B77" s="93"/>
    </x:row>
    <x:row r="78">
      <x:c r="A78" s="93"/>
      <x:c r="B78" s="93"/>
    </x:row>
    <x:row r="79">
      <x:c r="A79" s="93"/>
      <x:c r="B79" s="93"/>
    </x:row>
    <x:row r="80">
      <x:c r="A80" s="93"/>
      <x:c r="B80" s="93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f3dccf984ce647bc"/>
</x:worksheet>
</file>